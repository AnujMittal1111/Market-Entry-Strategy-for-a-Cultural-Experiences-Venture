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nss\"/>
    </mc:Choice>
  </mc:AlternateContent>
  <xr:revisionPtr revIDLastSave="0" documentId="13_ncr:1_{97129B6D-B20C-484E-9F93-C42B0C0881FE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Cover" sheetId="1" r:id="rId1"/>
    <sheet name="TAM_SAM_SOM" sheetId="2" r:id="rId2"/>
    <sheet name="Assumptions" sheetId="3" r:id="rId3"/>
    <sheet name="Revenue_Model" sheetId="4" r:id="rId4"/>
    <sheet name="Unit_Economics" sheetId="5" r:id="rId5"/>
    <sheet name="Sensitivity" sheetId="6" r:id="rId6"/>
    <sheet name="Summary_Dashboar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I24" i="6"/>
  <c r="H24" i="6"/>
  <c r="G24" i="6"/>
  <c r="F24" i="6"/>
  <c r="E24" i="6"/>
  <c r="D24" i="6"/>
  <c r="C24" i="6"/>
  <c r="I23" i="6"/>
  <c r="H23" i="6"/>
  <c r="G23" i="6"/>
  <c r="F23" i="6"/>
  <c r="E23" i="6"/>
  <c r="D23" i="6"/>
  <c r="C23" i="6"/>
  <c r="I22" i="6"/>
  <c r="H22" i="6"/>
  <c r="G22" i="6"/>
  <c r="F22" i="6"/>
  <c r="E22" i="6"/>
  <c r="D22" i="6"/>
  <c r="C22" i="6"/>
  <c r="I21" i="6"/>
  <c r="H21" i="6"/>
  <c r="G21" i="6"/>
  <c r="F21" i="6"/>
  <c r="E21" i="6"/>
  <c r="D21" i="6"/>
  <c r="C21" i="6"/>
  <c r="I20" i="6"/>
  <c r="H20" i="6"/>
  <c r="G20" i="6"/>
  <c r="F20" i="6"/>
  <c r="E20" i="6"/>
  <c r="D20" i="6"/>
  <c r="C20" i="6"/>
  <c r="I19" i="6"/>
  <c r="H19" i="6"/>
  <c r="G19" i="6"/>
  <c r="F19" i="6"/>
  <c r="E19" i="6"/>
  <c r="D19" i="6"/>
  <c r="C19" i="6"/>
  <c r="F27" i="5"/>
  <c r="E27" i="5"/>
  <c r="D27" i="5"/>
  <c r="F26" i="5"/>
  <c r="E26" i="5"/>
  <c r="D26" i="5"/>
  <c r="F25" i="5"/>
  <c r="E25" i="5"/>
  <c r="D25" i="5"/>
  <c r="F24" i="5"/>
  <c r="E24" i="5"/>
  <c r="D24" i="5"/>
  <c r="F17" i="5"/>
  <c r="F18" i="5" s="1"/>
  <c r="F19" i="5" s="1"/>
  <c r="E17" i="5"/>
  <c r="E18" i="5" s="1"/>
  <c r="E19" i="5" s="1"/>
  <c r="E20" i="5" s="1"/>
  <c r="D17" i="5"/>
  <c r="D18" i="5" s="1"/>
  <c r="D19" i="5" s="1"/>
  <c r="D20" i="5" s="1"/>
  <c r="F16" i="5"/>
  <c r="E16" i="5"/>
  <c r="D16" i="5"/>
  <c r="F9" i="5"/>
  <c r="E9" i="5"/>
  <c r="D9" i="5"/>
  <c r="F7" i="5"/>
  <c r="F8" i="5" s="1"/>
  <c r="E7" i="5"/>
  <c r="E8" i="5" s="1"/>
  <c r="D7" i="5"/>
  <c r="D8" i="5" s="1"/>
  <c r="F6" i="5"/>
  <c r="F12" i="5" s="1"/>
  <c r="E6" i="5"/>
  <c r="E12" i="5" s="1"/>
  <c r="D6" i="5"/>
  <c r="D12" i="5" s="1"/>
  <c r="E51" i="4"/>
  <c r="D51" i="4"/>
  <c r="C51" i="4"/>
  <c r="E49" i="4"/>
  <c r="D49" i="4"/>
  <c r="C49" i="4"/>
  <c r="E48" i="4"/>
  <c r="D48" i="4"/>
  <c r="C48" i="4"/>
  <c r="F25" i="4"/>
  <c r="E42" i="4" s="1"/>
  <c r="F42" i="4" s="1"/>
  <c r="E25" i="4"/>
  <c r="D42" i="4" s="1"/>
  <c r="D25" i="4"/>
  <c r="F22" i="4"/>
  <c r="E19" i="7" s="1"/>
  <c r="E22" i="4"/>
  <c r="D19" i="7" s="1"/>
  <c r="D22" i="4"/>
  <c r="C41" i="4" s="1"/>
  <c r="F19" i="4"/>
  <c r="E40" i="4" s="1"/>
  <c r="F40" i="4" s="1"/>
  <c r="E19" i="4"/>
  <c r="D18" i="7" s="1"/>
  <c r="D19" i="4"/>
  <c r="C18" i="7" s="1"/>
  <c r="F16" i="4"/>
  <c r="E16" i="4"/>
  <c r="D16" i="4"/>
  <c r="F11" i="4"/>
  <c r="F12" i="4" s="1"/>
  <c r="E11" i="4"/>
  <c r="E12" i="4" s="1"/>
  <c r="D11" i="4"/>
  <c r="D12" i="4" s="1"/>
  <c r="F9" i="4"/>
  <c r="F10" i="4" s="1"/>
  <c r="E9" i="4"/>
  <c r="E10" i="4" s="1"/>
  <c r="D9" i="4"/>
  <c r="D10" i="4" s="1"/>
  <c r="F7" i="4"/>
  <c r="F8" i="4" s="1"/>
  <c r="E7" i="4"/>
  <c r="E8" i="4" s="1"/>
  <c r="D7" i="4"/>
  <c r="D8" i="4" s="1"/>
  <c r="F30" i="2"/>
  <c r="F16" i="2"/>
  <c r="F18" i="2" s="1"/>
  <c r="E16" i="2"/>
  <c r="E18" i="2" s="1"/>
  <c r="D16" i="2"/>
  <c r="D18" i="2" s="1"/>
  <c r="D30" i="2" s="1"/>
  <c r="F10" i="2"/>
  <c r="F29" i="2" s="1"/>
  <c r="E10" i="2"/>
  <c r="F8" i="2"/>
  <c r="E8" i="2"/>
  <c r="D8" i="2"/>
  <c r="D10" i="2" s="1"/>
  <c r="D29" i="2" s="1"/>
  <c r="E31" i="4" l="1"/>
  <c r="D32" i="4"/>
  <c r="F31" i="4"/>
  <c r="E32" i="4"/>
  <c r="F32" i="4"/>
  <c r="D41" i="4"/>
  <c r="C19" i="7"/>
  <c r="E41" i="4"/>
  <c r="F41" i="4" s="1"/>
  <c r="F20" i="5"/>
  <c r="G8" i="4"/>
  <c r="G22" i="4"/>
  <c r="G19" i="7"/>
  <c r="F10" i="5"/>
  <c r="F11" i="5" s="1"/>
  <c r="D13" i="4"/>
  <c r="D29" i="4" s="1"/>
  <c r="D10" i="5"/>
  <c r="D11" i="5" s="1"/>
  <c r="E10" i="5"/>
  <c r="E11" i="5" s="1"/>
  <c r="D31" i="4"/>
  <c r="E18" i="7"/>
  <c r="G18" i="7" s="1"/>
  <c r="C10" i="7"/>
  <c r="E29" i="2"/>
  <c r="G10" i="4"/>
  <c r="F13" i="4"/>
  <c r="D33" i="4"/>
  <c r="C20" i="7"/>
  <c r="C42" i="4"/>
  <c r="F24" i="2"/>
  <c r="E24" i="2"/>
  <c r="D24" i="2"/>
  <c r="E33" i="4"/>
  <c r="D20" i="7"/>
  <c r="G12" i="4"/>
  <c r="C11" i="7"/>
  <c r="E30" i="2"/>
  <c r="E13" i="4"/>
  <c r="F33" i="4"/>
  <c r="E20" i="7"/>
  <c r="G25" i="4"/>
  <c r="D30" i="4"/>
  <c r="C17" i="7"/>
  <c r="E30" i="4"/>
  <c r="D17" i="7"/>
  <c r="F30" i="4"/>
  <c r="E17" i="7"/>
  <c r="E39" i="4"/>
  <c r="F39" i="4" s="1"/>
  <c r="C39" i="4"/>
  <c r="G16" i="4"/>
  <c r="D39" i="4"/>
  <c r="C40" i="4"/>
  <c r="D40" i="4"/>
  <c r="G19" i="4"/>
  <c r="G32" i="4" l="1"/>
  <c r="G31" i="4"/>
  <c r="C16" i="7"/>
  <c r="C38" i="4"/>
  <c r="D43" i="4" s="1"/>
  <c r="D25" i="2"/>
  <c r="D31" i="2"/>
  <c r="E12" i="7"/>
  <c r="E31" i="2"/>
  <c r="E25" i="2"/>
  <c r="D12" i="7"/>
  <c r="G20" i="7"/>
  <c r="F29" i="4"/>
  <c r="E38" i="4"/>
  <c r="G13" i="4"/>
  <c r="E16" i="7"/>
  <c r="G30" i="4"/>
  <c r="F31" i="2"/>
  <c r="F25" i="2"/>
  <c r="G33" i="4"/>
  <c r="E29" i="4"/>
  <c r="E34" i="4" s="1"/>
  <c r="D38" i="4"/>
  <c r="E43" i="4" s="1"/>
  <c r="D16" i="7"/>
  <c r="D21" i="7" s="1"/>
  <c r="G17" i="7"/>
  <c r="C21" i="7"/>
  <c r="D34" i="4"/>
  <c r="E31" i="6" l="1"/>
  <c r="E30" i="6"/>
  <c r="D50" i="4"/>
  <c r="D52" i="4" s="1"/>
  <c r="D6" i="7"/>
  <c r="E32" i="6"/>
  <c r="D44" i="4"/>
  <c r="C8" i="7" s="1"/>
  <c r="C7" i="7"/>
  <c r="E21" i="7"/>
  <c r="F16" i="7" s="1"/>
  <c r="G16" i="7"/>
  <c r="D32" i="6"/>
  <c r="D31" i="6"/>
  <c r="C50" i="4"/>
  <c r="C52" i="4" s="1"/>
  <c r="C53" i="4" s="1"/>
  <c r="C6" i="7"/>
  <c r="D30" i="6"/>
  <c r="F43" i="4"/>
  <c r="F38" i="4"/>
  <c r="G29" i="4"/>
  <c r="F34" i="4"/>
  <c r="E44" i="4"/>
  <c r="D8" i="7" s="1"/>
  <c r="D7" i="7"/>
  <c r="D53" i="4"/>
  <c r="C31" i="4" l="1"/>
  <c r="C30" i="4"/>
  <c r="C32" i="4"/>
  <c r="C33" i="4"/>
  <c r="C29" i="4"/>
  <c r="C9" i="7"/>
  <c r="C54" i="4"/>
  <c r="F18" i="7"/>
  <c r="F19" i="7"/>
  <c r="F20" i="7"/>
  <c r="F17" i="7"/>
  <c r="D9" i="7"/>
  <c r="D54" i="4"/>
  <c r="C12" i="6"/>
  <c r="H9" i="6"/>
  <c r="F7" i="6"/>
  <c r="F48" i="4"/>
  <c r="I11" i="6"/>
  <c r="G9" i="6"/>
  <c r="E7" i="6"/>
  <c r="F31" i="6"/>
  <c r="H11" i="6"/>
  <c r="F9" i="6"/>
  <c r="D7" i="6"/>
  <c r="I13" i="6"/>
  <c r="G11" i="6"/>
  <c r="E9" i="6"/>
  <c r="C7" i="6"/>
  <c r="H13" i="6"/>
  <c r="F11" i="6"/>
  <c r="D9" i="6"/>
  <c r="I6" i="6"/>
  <c r="G13" i="6"/>
  <c r="E11" i="6"/>
  <c r="C9" i="6"/>
  <c r="H6" i="6"/>
  <c r="F30" i="6"/>
  <c r="F13" i="6"/>
  <c r="D11" i="6"/>
  <c r="I8" i="6"/>
  <c r="G6" i="6"/>
  <c r="E13" i="6"/>
  <c r="C11" i="6"/>
  <c r="H8" i="6"/>
  <c r="F6" i="6"/>
  <c r="D10" i="6"/>
  <c r="C10" i="6"/>
  <c r="E50" i="4"/>
  <c r="E6" i="7"/>
  <c r="I9" i="6"/>
  <c r="D13" i="6"/>
  <c r="G8" i="6"/>
  <c r="C13" i="6"/>
  <c r="F8" i="6"/>
  <c r="I12" i="6"/>
  <c r="E8" i="6"/>
  <c r="F32" i="6"/>
  <c r="H12" i="6"/>
  <c r="D8" i="6"/>
  <c r="G12" i="6"/>
  <c r="C8" i="6"/>
  <c r="F12" i="6"/>
  <c r="I7" i="6"/>
  <c r="E12" i="6"/>
  <c r="H7" i="6"/>
  <c r="D12" i="6"/>
  <c r="G7" i="6"/>
  <c r="G34" i="4"/>
  <c r="I10" i="6"/>
  <c r="H10" i="6"/>
  <c r="G10" i="6"/>
  <c r="F10" i="6"/>
  <c r="E10" i="6"/>
  <c r="E6" i="6"/>
  <c r="D6" i="6"/>
  <c r="C6" i="6"/>
  <c r="F49" i="4"/>
  <c r="F51" i="4"/>
  <c r="F44" i="4"/>
  <c r="E8" i="7" s="1"/>
  <c r="E7" i="7"/>
  <c r="F50" i="4" l="1"/>
  <c r="E52" i="4"/>
  <c r="E53" i="4" s="1"/>
  <c r="E9" i="7" l="1"/>
  <c r="G31" i="6"/>
  <c r="G30" i="6"/>
  <c r="G32" i="6"/>
  <c r="E54" i="4"/>
</calcChain>
</file>

<file path=xl/sharedStrings.xml><?xml version="1.0" encoding="utf-8"?>
<sst xmlns="http://schemas.openxmlformats.org/spreadsheetml/2006/main" count="403" uniqueCount="292">
  <si>
    <t>MARKET ENTRY STRATEGY</t>
  </si>
  <si>
    <t>Cultural Experiences Venture — Financial Model</t>
  </si>
  <si>
    <t>TAM / SAM / SOM  ·  Revenue Projections  ·  Unit Economics  ·  Sensitivity Analysis</t>
  </si>
  <si>
    <t>Sheet Index</t>
  </si>
  <si>
    <t>TAM_SAM_SOM</t>
  </si>
  <si>
    <t>Total / Serviceable / Obtainable Market sizing</t>
  </si>
  <si>
    <t>Assumptions</t>
  </si>
  <si>
    <t>All hardcoded inputs &amp; growth drivers</t>
  </si>
  <si>
    <t>Revenue_Model</t>
  </si>
  <si>
    <t>3-year revenue projections by stream</t>
  </si>
  <si>
    <t>Unit_Economics</t>
  </si>
  <si>
    <t>CAC, LTV, margins, contribution analysis</t>
  </si>
  <si>
    <t>Sensitivity</t>
  </si>
  <si>
    <t>Two-variable sensitivity &amp; scenario tables</t>
  </si>
  <si>
    <t>Summary_Dashboard</t>
  </si>
  <si>
    <t>KPI dashboard &amp; charts</t>
  </si>
  <si>
    <t>Blue = hardcoded input  |  Black = formula  |  Green = cross-sheet link  |  Yellow bg = key assumption</t>
  </si>
  <si>
    <t>TAM / SAM / SOM ANALYSIS — CULTURAL EXPERIENCES VENTURE</t>
  </si>
  <si>
    <t>All figures in Indian Rupees Crore (₹ Cr).  Blue = hardcoded input.  Black = formula.</t>
  </si>
  <si>
    <t>1. TOTAL ADDRESSABLE MARKET (TAM)</t>
  </si>
  <si>
    <t>Assumption / Driver</t>
  </si>
  <si>
    <t>Basis</t>
  </si>
  <si>
    <t>Low</t>
  </si>
  <si>
    <t>Base</t>
  </si>
  <si>
    <t>High</t>
  </si>
  <si>
    <t>Urban India population (M people)</t>
  </si>
  <si>
    <t>Census + projections</t>
  </si>
  <si>
    <t>Target demographic %  (25-45 yrs, &gt;₹8L pa)</t>
  </si>
  <si>
    <t>Assumption</t>
  </si>
  <si>
    <t>Target consumers (M people)</t>
  </si>
  <si>
    <t>Annual cultural spend per person (₹)</t>
  </si>
  <si>
    <t>Primary research proxy</t>
  </si>
  <si>
    <t>TAM (₹ Cr)</t>
  </si>
  <si>
    <t>2. SERVICEABLE ADDRESSABLE MARKET (SAM)</t>
  </si>
  <si>
    <t>Top metros + heritage corridors</t>
  </si>
  <si>
    <t>Bengaluru, Delhi, Mumbai, Jaipur, Varanasi, Chennai, Pune, Kochi</t>
  </si>
  <si>
    <t>8 cities</t>
  </si>
  <si>
    <t>10 cities</t>
  </si>
  <si>
    <t>Reachable consumers as % of TAM consumers</t>
  </si>
  <si>
    <t>Geographic + income filter</t>
  </si>
  <si>
    <t>SAM consumers (M people)</t>
  </si>
  <si>
    <t>Annual spend (₹) — SAM segment</t>
  </si>
  <si>
    <t>Higher disposable income</t>
  </si>
  <si>
    <t>SAM (₹ Cr)</t>
  </si>
  <si>
    <t>SAM CAGR (2026–2030)</t>
  </si>
  <si>
    <t>Experiential shift + tourism</t>
  </si>
  <si>
    <t>3. SERVICEABLE OBTAINABLE MARKET (SOM)</t>
  </si>
  <si>
    <t>Year 1</t>
  </si>
  <si>
    <t>Year 2</t>
  </si>
  <si>
    <t>Year 3</t>
  </si>
  <si>
    <t>Market capture rate (% of SAM)</t>
  </si>
  <si>
    <t>Comparable D2C cultural brands</t>
  </si>
  <si>
    <t>SOM (₹ Cr)</t>
  </si>
  <si>
    <t>SOM as % of SAM</t>
  </si>
  <si>
    <t>SUMMARY</t>
  </si>
  <si>
    <t>Metric</t>
  </si>
  <si>
    <t>Description</t>
  </si>
  <si>
    <t>Total market opportunity</t>
  </si>
  <si>
    <t>Serviceable market</t>
  </si>
  <si>
    <t>SOM Year 3 (₹ Cr)</t>
  </si>
  <si>
    <t>Achievable by Year 3</t>
  </si>
  <si>
    <t>KEY ASSUMPTIONS — CULTURAL EXPERIENCES VENTURE</t>
  </si>
  <si>
    <t>Blue = hardcoded input (change these to run scenarios).  Yellow bg = most sensitive assumptions.</t>
  </si>
  <si>
    <t>A. MACRO &amp; MARKET ASSUMPTIONS</t>
  </si>
  <si>
    <t>Unit</t>
  </si>
  <si>
    <t>Notes</t>
  </si>
  <si>
    <t>SAM CAGR</t>
  </si>
  <si>
    <t>%</t>
  </si>
  <si>
    <t>Craft experience market growth</t>
  </si>
  <si>
    <t>Target city count</t>
  </si>
  <si>
    <t># cities</t>
  </si>
  <si>
    <t>Number of flagship studio cities</t>
  </si>
  <si>
    <t>Heritage tourism growth</t>
  </si>
  <si>
    <t>%/yr</t>
  </si>
  <si>
    <t>IRCTC + Airbnb benchmark</t>
  </si>
  <si>
    <t>Corporate L&amp;D budget CAGR</t>
  </si>
  <si>
    <t>Industry benchmark</t>
  </si>
  <si>
    <t>B. PRICING ASSUMPTIONS</t>
  </si>
  <si>
    <t>Entry workshop avg. ticket (₹)</t>
  </si>
  <si>
    <t>₹/session</t>
  </si>
  <si>
    <t>Drop-in pottery/block print</t>
  </si>
  <si>
    <t>Mid experience avg. ticket (₹)</t>
  </si>
  <si>
    <t>Curated 3-hr session</t>
  </si>
  <si>
    <t>Premium heritage package (₹)</t>
  </si>
  <si>
    <t>₹/package</t>
  </si>
  <si>
    <t>Multi-day immersion</t>
  </si>
  <si>
    <t>Corporate event avg. (₹)</t>
  </si>
  <si>
    <t>₹/event</t>
  </si>
  <si>
    <t>50-person offsite</t>
  </si>
  <si>
    <t>Online subscription MRP (₹/mo)</t>
  </si>
  <si>
    <t>₹/mo</t>
  </si>
  <si>
    <t>Annual plan = 10mo equiv.</t>
  </si>
  <si>
    <t>Craft kit avg. order (₹)</t>
  </si>
  <si>
    <t>₹/order</t>
  </si>
  <si>
    <t>DIY subscription box</t>
  </si>
  <si>
    <t>Merchandise / décor AOV (₹)</t>
  </si>
  <si>
    <t>Artist-led items</t>
  </si>
  <si>
    <t>C. VOLUME ASSUMPTIONS</t>
  </si>
  <si>
    <t>Flagship studios open</t>
  </si>
  <si>
    <t>#</t>
  </si>
  <si>
    <t>Cities: BLR, DEL → MUM, JAI</t>
  </si>
  <si>
    <t>Avg sessions/studio/week</t>
  </si>
  <si>
    <t>Mix of formats</t>
  </si>
  <si>
    <t>Avg capacity utilisation</t>
  </si>
  <si>
    <t>Ramp-up in Y1</t>
  </si>
  <si>
    <t>Pax per session (avg)</t>
  </si>
  <si>
    <t>Studio capacity ~15</t>
  </si>
  <si>
    <t>Corporate events per year</t>
  </si>
  <si>
    <t>B2B direct sales</t>
  </si>
  <si>
    <t>Online subscribers (end of year)</t>
  </si>
  <si>
    <t>Organic + influencer</t>
  </si>
  <si>
    <t>Craft kit orders/month</t>
  </si>
  <si>
    <t>D2C subscription</t>
  </si>
  <si>
    <t>Merchandise orders/month</t>
  </si>
  <si>
    <t>Online store + studios</t>
  </si>
  <si>
    <t>D. COST ASSUMPTIONS</t>
  </si>
  <si>
    <t>Studio rent (₹ Cr/yr per studio)</t>
  </si>
  <si>
    <t>₹ Cr/yr</t>
  </si>
  <si>
    <t>Metro premium locations</t>
  </si>
  <si>
    <t>Artisan revenue share</t>
  </si>
  <si>
    <t>Of experience revenue</t>
  </si>
  <si>
    <t>Staff cost (₹ Cr/yr per studio)</t>
  </si>
  <si>
    <t>Facilitators + admin</t>
  </si>
  <si>
    <t>Marketing spend (% of revenue)</t>
  </si>
  <si>
    <t>Reducing as brand builds</t>
  </si>
  <si>
    <t>COGS — Experiences (% of rev)</t>
  </si>
  <si>
    <t>Materials + artisan share</t>
  </si>
  <si>
    <t>COGS — Craft kits (% of rev)</t>
  </si>
  <si>
    <t>Sourcing + packaging + shipping</t>
  </si>
  <si>
    <t>COGS — Online learning (% of rev)</t>
  </si>
  <si>
    <t>Platform + content costs</t>
  </si>
  <si>
    <t>COGS — Merchandise (% of rev)</t>
  </si>
  <si>
    <t>Artisan goods + fulfilment</t>
  </si>
  <si>
    <t>Fixed opex ex-rent/staff (₹ Cr/yr)</t>
  </si>
  <si>
    <t>Tech, legal, admin, insurance</t>
  </si>
  <si>
    <t>E. UNIT ECONOMICS ASSUMPTIONS</t>
  </si>
  <si>
    <t>CAC — B2C (₹)</t>
  </si>
  <si>
    <t>₹</t>
  </si>
  <si>
    <t>Paid + organic blended</t>
  </si>
  <si>
    <t>CAC — B2B (₹)</t>
  </si>
  <si>
    <t>Direct sales + events</t>
  </si>
  <si>
    <t>Avg LTV period — B2C (months)</t>
  </si>
  <si>
    <t>months</t>
  </si>
  <si>
    <t>Repeat workshops + online</t>
  </si>
  <si>
    <t>B2C repeat purchase rate (yr1)</t>
  </si>
  <si>
    <t>Workshop alumni</t>
  </si>
  <si>
    <t>Online sub churn rate/month</t>
  </si>
  <si>
    <t>Industry: 5-7%</t>
  </si>
  <si>
    <t>REVENUE MODEL — 3-YEAR PROJECTIONS (₹ Crore)</t>
  </si>
  <si>
    <t>All revenue in ₹ Crore.  Formulas pull from Assumptions sheet.  Green = cross-sheet link.  Black = formula.</t>
  </si>
  <si>
    <t>Revenue Stream</t>
  </si>
  <si>
    <t>Driver</t>
  </si>
  <si>
    <t>3-Yr CAGR</t>
  </si>
  <si>
    <t>1. WORKSHOP &amp; EXPERIENCE REVENUE</t>
  </si>
  <si>
    <t>Entry workshop attendees/yr</t>
  </si>
  <si>
    <t>Studios × sessions/wk × 52 × util × pax × 40% mix</t>
  </si>
  <si>
    <t xml:space="preserve">  Entry workshop revenue (₹ Cr)</t>
  </si>
  <si>
    <t>Attendees × avg ticket / Cr</t>
  </si>
  <si>
    <t>Mid experience attendees/yr</t>
  </si>
  <si>
    <t>Studios × sessions/wk × 52 × util × pax × 45% mix</t>
  </si>
  <si>
    <t xml:space="preserve">  Mid experience revenue (₹ Cr)</t>
  </si>
  <si>
    <t>Premium heritage package bookings/yr</t>
  </si>
  <si>
    <t>Studios × 2 packages/month × 12</t>
  </si>
  <si>
    <t xml:space="preserve">  Premium heritage revenue (₹ Cr)</t>
  </si>
  <si>
    <t>Bookings × avg package / Cr</t>
  </si>
  <si>
    <t>EXPERIENCE REVENUE TOTAL (₹ Cr)</t>
  </si>
  <si>
    <t>2. CORPORATE B2B REVENUE</t>
  </si>
  <si>
    <t>Corporate event revenue (₹ Cr)</t>
  </si>
  <si>
    <t>Events × avg ticket / Cr</t>
  </si>
  <si>
    <t>3. ONLINE LEARNING REVENUE</t>
  </si>
  <si>
    <t>Online subscription revenue (₹ Cr)</t>
  </si>
  <si>
    <t>Avg active subs × MRP × 12 / Cr  (avg = end/1.5)</t>
  </si>
  <si>
    <t>4. CRAFT KIT (D2C) REVENUE</t>
  </si>
  <si>
    <t>Craft kit revenue (₹ Cr)</t>
  </si>
  <si>
    <t>Monthly orders × 12 × AOV / Cr</t>
  </si>
  <si>
    <t>5. MERCHANDISE &amp; PRODUCTS REVENUE</t>
  </si>
  <si>
    <t>Merchandise revenue (₹ Cr)</t>
  </si>
  <si>
    <t>TOTAL REVENUE SUMMARY</t>
  </si>
  <si>
    <t>Stream</t>
  </si>
  <si>
    <t>% Mix (Yr 3)</t>
  </si>
  <si>
    <t>Year 1 (₹ Cr)</t>
  </si>
  <si>
    <t>Year 2 (₹ Cr)</t>
  </si>
  <si>
    <t>Year 3 (₹ Cr)</t>
  </si>
  <si>
    <t>CAGR</t>
  </si>
  <si>
    <t>Experience Revenue</t>
  </si>
  <si>
    <t>Corporate B2B</t>
  </si>
  <si>
    <t>Online Learning</t>
  </si>
  <si>
    <t>Craft Kits (D2C)</t>
  </si>
  <si>
    <t>Merchandise</t>
  </si>
  <si>
    <t>TOTAL REVENUE</t>
  </si>
  <si>
    <t>100%</t>
  </si>
  <si>
    <t>GROSS PROFIT ANALYSIS</t>
  </si>
  <si>
    <t>Yr3 Margin</t>
  </si>
  <si>
    <t>Experience GP</t>
  </si>
  <si>
    <t>Corporate GP</t>
  </si>
  <si>
    <t>Online GP</t>
  </si>
  <si>
    <t>Craft Kit GP</t>
  </si>
  <si>
    <t>Merchandise GP</t>
  </si>
  <si>
    <t>TOTAL GROSS PROFIT</t>
  </si>
  <si>
    <t>Blended Gross Margin %</t>
  </si>
  <si>
    <t>OPERATING EXPENSES (₹ Cr)</t>
  </si>
  <si>
    <t>Expense</t>
  </si>
  <si>
    <t>% Rev Y3</t>
  </si>
  <si>
    <t>Studio rent</t>
  </si>
  <si>
    <t>Staff cost</t>
  </si>
  <si>
    <t>Marketing spend</t>
  </si>
  <si>
    <t>Fixed opex (other)</t>
  </si>
  <si>
    <t>TOTAL OPEX</t>
  </si>
  <si>
    <t>EBITDA (₹ Cr)</t>
  </si>
  <si>
    <t>EBITDA Margin %</t>
  </si>
  <si>
    <t>UNIT ECONOMICS — CULTURAL EXPERIENCES VENTURE</t>
  </si>
  <si>
    <t>Green = links from Assumptions.  Black = formulas.  All ₹ values.</t>
  </si>
  <si>
    <t>A. B2C CUSTOMER ECONOMICS</t>
  </si>
  <si>
    <t>Formula / Basis</t>
  </si>
  <si>
    <t>From Assumptions</t>
  </si>
  <si>
    <t>Average first-order value (₹)</t>
  </si>
  <si>
    <t>Blended entry + mid ticket</t>
  </si>
  <si>
    <t>Annual repeat revenue per customer (₹)</t>
  </si>
  <si>
    <t>AOV × repeat rate × 2 visits</t>
  </si>
  <si>
    <t>Online sub revenue per user/yr (₹)</t>
  </si>
  <si>
    <t>MRP × 12</t>
  </si>
  <si>
    <t>Estimated LTV (₹)</t>
  </si>
  <si>
    <t>AOV + repeat rev × LTV months/12 + online sub</t>
  </si>
  <si>
    <t>LTV : CAC Ratio</t>
  </si>
  <si>
    <t>LTV / CAC</t>
  </si>
  <si>
    <t>CAC Payback (months)</t>
  </si>
  <si>
    <t>CAC / (AOV gross margin / 12)</t>
  </si>
  <si>
    <t>B. B2B CUSTOMER ECONOMICS</t>
  </si>
  <si>
    <t>Annual revenue per B2B client (₹)</t>
  </si>
  <si>
    <t>Avg events × avg ticket</t>
  </si>
  <si>
    <t>Gross profit per B2B client (₹)</t>
  </si>
  <si>
    <t>Rev × (1 - COGS%)</t>
  </si>
  <si>
    <t>B2B LTV (₹) — 3-yr avg retention</t>
  </si>
  <si>
    <t>Annual GP × 3</t>
  </si>
  <si>
    <t>B2B LTV : CAC Ratio</t>
  </si>
  <si>
    <t>C. CONTRIBUTION MARGIN ANALYSIS</t>
  </si>
  <si>
    <t>Contribution per workshop session (₹)</t>
  </si>
  <si>
    <t>Ticket × (1 - COGS - artisan share)</t>
  </si>
  <si>
    <t>Contribution per craft kit order (₹)</t>
  </si>
  <si>
    <t>AOV × (1 - COGS%)</t>
  </si>
  <si>
    <t>Contribution per online sub/yr (₹)</t>
  </si>
  <si>
    <t>Sub rev × (1 - COGS%)</t>
  </si>
  <si>
    <t>Break-even B2C customers needed</t>
  </si>
  <si>
    <t>Total fixed costs / avg contribution</t>
  </si>
  <si>
    <t>SENSITIVITY &amp; SCENARIO ANALYSIS — CULTURAL EXPERIENCES VENTURE</t>
  </si>
  <si>
    <t>Two-variable sensitivity tables show Year 3 Total Revenue (₹ Cr) under different assumption combinations.</t>
  </si>
  <si>
    <t>TABLE 1 — Year 3 Revenue (₹ Cr): Corporate Events/yr × Avg Corporate Ticket (₹)</t>
  </si>
  <si>
    <t>Events / Ticket →</t>
  </si>
  <si>
    <t>★ Yellow = base case (400 events × ₹2,00,000 ticket)</t>
  </si>
  <si>
    <t>TABLE 2 — Year 3 Online Learning Revenue (₹ Cr): End-of-Year Subs × Monthly Churn</t>
  </si>
  <si>
    <t>Subs / Churn →</t>
  </si>
  <si>
    <t>★ Yellow = base case (8,000 subs × 5% churn)</t>
  </si>
  <si>
    <t>TABLE 3 — SCENARIO SUMMARY</t>
  </si>
  <si>
    <t>Scenario</t>
  </si>
  <si>
    <t>Key Drivers</t>
  </si>
  <si>
    <t>Year 1 Rev</t>
  </si>
  <si>
    <t>Year 2 Rev</t>
  </si>
  <si>
    <t>Year 3 Rev</t>
  </si>
  <si>
    <t>EBITDA Y3</t>
  </si>
  <si>
    <t>Bear Case</t>
  </si>
  <si>
    <t>Low adoption, 2 studios, high churn</t>
  </si>
  <si>
    <t>Base Case ★</t>
  </si>
  <si>
    <t>Assumptions sheet defaults</t>
  </si>
  <si>
    <t>Bull Case</t>
  </si>
  <si>
    <t>High adoption, 6 studios, low churn</t>
  </si>
  <si>
    <t>SUMMARY DASHBOARD — CULTURAL EXPERIENCES VENTURE</t>
  </si>
  <si>
    <t>All figures in ₹ Crore.  Links pull from Revenue_Model and TAM_SAM_SOM sheets.</t>
  </si>
  <si>
    <t>KEY PERFORMANCE INDICATORS</t>
  </si>
  <si>
    <t>KPI</t>
  </si>
  <si>
    <t>Total Revenue</t>
  </si>
  <si>
    <t>₹ Cr</t>
  </si>
  <si>
    <t>Total Gross Profit</t>
  </si>
  <si>
    <t>Blended Gross Margin</t>
  </si>
  <si>
    <t>EBITDA</t>
  </si>
  <si>
    <t>TAM</t>
  </si>
  <si>
    <t>-</t>
  </si>
  <si>
    <t>SAM</t>
  </si>
  <si>
    <t>SOM (Year 3)</t>
  </si>
  <si>
    <t>REVENUE MIX — YEAR 3 (₹ Cr)</t>
  </si>
  <si>
    <t>Y1 Rev</t>
  </si>
  <si>
    <t>Y2 Rev</t>
  </si>
  <si>
    <t>Y3 Rev</t>
  </si>
  <si>
    <t>Y3 %</t>
  </si>
  <si>
    <t>Craft Kits</t>
  </si>
  <si>
    <t>TOTAL</t>
  </si>
  <si>
    <t>consumers * spend / Cr</t>
  </si>
  <si>
    <t>Base SAM * capture rate</t>
  </si>
  <si>
    <t>SOM / SAM</t>
  </si>
  <si>
    <t>consumers * spend / 100</t>
  </si>
  <si>
    <t>Number of peoples</t>
  </si>
  <si>
    <t>workshop +mid + premium</t>
  </si>
  <si>
    <t>Prepared by : Ankit and Anuj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</si>
</sst>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&quot;-&quot;"/>
    <numFmt numFmtId="165" formatCode="0.0%;\-0.0%;&quot;-&quot;"/>
    <numFmt numFmtId="166" formatCode="\₹#,##0;\(\₹#,##0\);&quot;-&quot;"/>
    <numFmt numFmtId="167" formatCode="#,##0.0;\(#,##0.0\);&quot;-&quot;"/>
    <numFmt numFmtId="168" formatCode="0%;\-0%;&quot;-&quot;"/>
    <numFmt numFmtId="169" formatCode="0.0\x"/>
  </numFmts>
  <fonts count="26" x14ac:knownFonts="1">
    <font>
      <sz val="11"/>
      <color theme="1"/>
      <name val="Calibri"/>
      <family val="2"/>
      <scheme val="minor"/>
    </font>
    <font>
      <b/>
      <sz val="22"/>
      <color rgb="FF1A1A2E"/>
      <name val="Arial"/>
    </font>
    <font>
      <sz val="14"/>
      <color rgb="FFC8511B"/>
      <name val="Arial"/>
    </font>
    <font>
      <sz val="10"/>
      <color rgb="FF3D3D5C"/>
      <name val="Arial"/>
    </font>
    <font>
      <i/>
      <sz val="9"/>
      <color rgb="FF7A7A9A"/>
      <name val="Arial"/>
    </font>
    <font>
      <b/>
      <sz val="11"/>
      <color rgb="FF1A1A2E"/>
      <name val="Arial"/>
    </font>
    <font>
      <b/>
      <sz val="10"/>
      <color rgb="FFC8511B"/>
      <name val="Arial"/>
    </font>
    <font>
      <i/>
      <sz val="8"/>
      <color rgb="FF7A7A9A"/>
      <name val="Arial"/>
    </font>
    <font>
      <b/>
      <sz val="12"/>
      <color rgb="FFFFFFFF"/>
      <name val="Arial"/>
    </font>
    <font>
      <b/>
      <sz val="9"/>
      <color rgb="FFFFFFFF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sz val="9"/>
      <color rgb="FF7A7A9A"/>
      <name val="Arial"/>
    </font>
    <font>
      <sz val="10"/>
      <color rgb="FF0000FF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3D3D5C"/>
      <name val="Arial"/>
    </font>
    <font>
      <b/>
      <sz val="10"/>
      <color rgb="FF008000"/>
      <name val="Arial"/>
    </font>
    <font>
      <b/>
      <sz val="10"/>
      <color rgb="FFD4A017"/>
      <name val="Arial"/>
    </font>
    <font>
      <b/>
      <sz val="11"/>
      <color rgb="FFD4A017"/>
      <name val="Arial"/>
    </font>
    <font>
      <sz val="10"/>
      <color rgb="FF008000"/>
      <name val="Arial"/>
    </font>
    <font>
      <b/>
      <sz val="10"/>
      <color rgb="FF1A1A2E"/>
      <name val="Arial"/>
    </font>
    <font>
      <sz val="9"/>
      <color rgb="FF696989"/>
      <name val="Arial"/>
      <family val="2"/>
    </font>
    <font>
      <sz val="10"/>
      <color rgb="FF696989"/>
      <name val="Arial"/>
      <family val="2"/>
    </font>
    <font>
      <sz val="9"/>
      <color rgb="FF717191"/>
      <name val="Arial"/>
      <family val="2"/>
    </font>
    <font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8511B"/>
      </patternFill>
    </fill>
    <fill>
      <patternFill patternType="solid">
        <fgColor rgb="FF1A1A2E"/>
      </patternFill>
    </fill>
    <fill>
      <patternFill patternType="solid">
        <fgColor rgb="FF3D3D5C"/>
      </patternFill>
    </fill>
    <fill>
      <patternFill patternType="solid">
        <fgColor rgb="FFFFFFFF"/>
      </patternFill>
    </fill>
    <fill>
      <patternFill patternType="solid">
        <fgColor rgb="FFFFF0E6"/>
      </patternFill>
    </fill>
    <fill>
      <patternFill patternType="solid">
        <fgColor rgb="FFD4A017"/>
      </patternFill>
    </fill>
    <fill>
      <patternFill patternType="solid">
        <fgColor rgb="FFFFFF9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0" borderId="0" xfId="0" applyFont="1" applyAlignment="1">
      <alignment horizontal="left" vertical="center"/>
    </xf>
    <xf numFmtId="0" fontId="0" fillId="2" borderId="1" xfId="0" applyFill="1" applyBorder="1"/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0" fontId="11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18" fillId="4" borderId="2" xfId="0" applyFont="1" applyFill="1" applyBorder="1" applyAlignment="1">
      <alignment horizontal="center" vertical="center"/>
    </xf>
    <xf numFmtId="166" fontId="11" fillId="4" borderId="2" xfId="0" applyNumberFormat="1" applyFont="1" applyFill="1" applyBorder="1" applyAlignment="1">
      <alignment horizontal="center" vertical="center"/>
    </xf>
    <xf numFmtId="164" fontId="11" fillId="4" borderId="2" xfId="0" applyNumberFormat="1" applyFont="1" applyFill="1" applyBorder="1" applyAlignment="1">
      <alignment horizontal="center" vertical="center"/>
    </xf>
    <xf numFmtId="165" fontId="11" fillId="4" borderId="2" xfId="0" applyNumberFormat="1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left" vertical="center"/>
    </xf>
    <xf numFmtId="0" fontId="24" fillId="5" borderId="2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165" fontId="13" fillId="8" borderId="2" xfId="0" applyNumberFormat="1" applyFont="1" applyFill="1" applyBorder="1" applyAlignment="1">
      <alignment horizontal="center" vertical="center"/>
    </xf>
    <xf numFmtId="164" fontId="13" fillId="6" borderId="2" xfId="0" applyNumberFormat="1" applyFont="1" applyFill="1" applyBorder="1" applyAlignment="1">
      <alignment horizontal="center" vertical="center"/>
    </xf>
    <xf numFmtId="165" fontId="13" fillId="6" borderId="2" xfId="0" applyNumberFormat="1" applyFont="1" applyFill="1" applyBorder="1" applyAlignment="1">
      <alignment horizontal="center" vertical="center"/>
    </xf>
    <xf numFmtId="166" fontId="13" fillId="6" borderId="2" xfId="0" applyNumberFormat="1" applyFont="1" applyFill="1" applyBorder="1" applyAlignment="1">
      <alignment horizontal="center" vertical="center"/>
    </xf>
    <xf numFmtId="166" fontId="13" fillId="8" borderId="2" xfId="0" applyNumberFormat="1" applyFont="1" applyFill="1" applyBorder="1" applyAlignment="1">
      <alignment horizontal="center" vertical="center"/>
    </xf>
    <xf numFmtId="164" fontId="13" fillId="8" borderId="2" xfId="0" applyNumberFormat="1" applyFont="1" applyFill="1" applyBorder="1" applyAlignment="1">
      <alignment horizontal="center" vertical="center"/>
    </xf>
    <xf numFmtId="0" fontId="24" fillId="5" borderId="2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2" fillId="6" borderId="2" xfId="0" applyFont="1" applyFill="1" applyBorder="1" applyAlignment="1">
      <alignment horizontal="center" vertical="center"/>
    </xf>
    <xf numFmtId="165" fontId="14" fillId="6" borderId="2" xfId="0" applyNumberFormat="1" applyFont="1" applyFill="1" applyBorder="1" applyAlignment="1">
      <alignment horizontal="center" vertical="center"/>
    </xf>
    <xf numFmtId="168" fontId="18" fillId="3" borderId="2" xfId="0" applyNumberFormat="1" applyFont="1" applyFill="1" applyBorder="1" applyAlignment="1">
      <alignment horizontal="center" vertical="center"/>
    </xf>
    <xf numFmtId="164" fontId="14" fillId="5" borderId="2" xfId="0" applyNumberFormat="1" applyFont="1" applyFill="1" applyBorder="1" applyAlignment="1">
      <alignment horizontal="center" vertical="center"/>
    </xf>
    <xf numFmtId="166" fontId="14" fillId="5" borderId="2" xfId="0" applyNumberFormat="1" applyFont="1" applyFill="1" applyBorder="1" applyAlignment="1">
      <alignment horizontal="center" vertical="center"/>
    </xf>
    <xf numFmtId="166" fontId="15" fillId="6" borderId="2" xfId="0" applyNumberFormat="1" applyFont="1" applyFill="1" applyBorder="1" applyAlignment="1">
      <alignment horizontal="center" vertical="center"/>
    </xf>
    <xf numFmtId="166" fontId="17" fillId="6" borderId="2" xfId="0" applyNumberFormat="1" applyFont="1" applyFill="1" applyBorder="1" applyAlignment="1">
      <alignment horizontal="center"/>
    </xf>
    <xf numFmtId="166" fontId="19" fillId="3" borderId="2" xfId="0" applyNumberFormat="1" applyFont="1" applyFill="1" applyBorder="1" applyAlignment="1">
      <alignment horizontal="center"/>
    </xf>
    <xf numFmtId="165" fontId="15" fillId="6" borderId="2" xfId="0" applyNumberFormat="1" applyFont="1" applyFill="1" applyBorder="1" applyAlignment="1">
      <alignment horizontal="center" vertical="center"/>
    </xf>
    <xf numFmtId="165" fontId="14" fillId="5" borderId="2" xfId="0" applyNumberFormat="1" applyFont="1" applyFill="1" applyBorder="1" applyAlignment="1">
      <alignment horizontal="center" vertical="center"/>
    </xf>
    <xf numFmtId="165" fontId="18" fillId="3" borderId="2" xfId="0" applyNumberFormat="1" applyFont="1" applyFill="1" applyBorder="1" applyAlignment="1">
      <alignment horizontal="center"/>
    </xf>
    <xf numFmtId="0" fontId="16" fillId="6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164" fontId="13" fillId="5" borderId="2" xfId="0" applyNumberFormat="1" applyFont="1" applyFill="1" applyBorder="1" applyAlignment="1">
      <alignment horizontal="center" vertical="center"/>
    </xf>
    <xf numFmtId="165" fontId="13" fillId="5" borderId="2" xfId="0" applyNumberFormat="1" applyFont="1" applyFill="1" applyBorder="1" applyAlignment="1">
      <alignment horizontal="center" vertical="center"/>
    </xf>
    <xf numFmtId="167" fontId="14" fillId="6" borderId="2" xfId="0" applyNumberFormat="1" applyFont="1" applyFill="1" applyBorder="1" applyAlignment="1">
      <alignment horizontal="center" vertical="center"/>
    </xf>
    <xf numFmtId="166" fontId="13" fillId="5" borderId="2" xfId="0" applyNumberFormat="1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165" fontId="22" fillId="6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166" fontId="17" fillId="6" borderId="2" xfId="0" applyNumberFormat="1" applyFont="1" applyFill="1" applyBorder="1" applyAlignment="1">
      <alignment horizontal="center" vertical="center"/>
    </xf>
    <xf numFmtId="169" fontId="15" fillId="6" borderId="2" xfId="0" applyNumberFormat="1" applyFont="1" applyFill="1" applyBorder="1" applyAlignment="1">
      <alignment horizontal="center" vertical="center"/>
    </xf>
    <xf numFmtId="167" fontId="20" fillId="5" borderId="2" xfId="0" applyNumberFormat="1" applyFont="1" applyFill="1" applyBorder="1" applyAlignment="1">
      <alignment horizontal="center" vertical="center"/>
    </xf>
    <xf numFmtId="164" fontId="20" fillId="5" borderId="2" xfId="0" applyNumberFormat="1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166" fontId="17" fillId="8" borderId="2" xfId="0" applyNumberFormat="1" applyFont="1" applyFill="1" applyBorder="1" applyAlignment="1">
      <alignment horizontal="center" vertical="center"/>
    </xf>
    <xf numFmtId="166" fontId="21" fillId="8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19" fillId="3" borderId="2" xfId="0" applyNumberFormat="1" applyFont="1" applyFill="1" applyBorder="1" applyAlignment="1">
      <alignment horizontal="center" vertical="center"/>
    </xf>
    <xf numFmtId="165" fontId="17" fillId="6" borderId="2" xfId="0" applyNumberFormat="1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 indent="1"/>
    </xf>
    <xf numFmtId="0" fontId="0" fillId="0" borderId="0" xfId="0"/>
    <xf numFmtId="0" fontId="10" fillId="2" borderId="2" xfId="0" applyFont="1" applyFill="1" applyBorder="1" applyAlignment="1">
      <alignment horizontal="left" vertical="center" indent="1"/>
    </xf>
    <xf numFmtId="0" fontId="8" fillId="3" borderId="2" xfId="0" applyFont="1" applyFill="1" applyBorder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7" borderId="2" xfId="0" applyFont="1" applyFill="1" applyBorder="1" applyAlignment="1">
      <alignment horizontal="left" vertical="center" indent="1"/>
    </xf>
    <xf numFmtId="0" fontId="10" fillId="4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left" vertical="center" indent="1"/>
    </xf>
    <xf numFmtId="0" fontId="2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Total Revenue — Year 1 to Year 3 (₹ Cr)</a:t>
            </a:r>
          </a:p>
        </c:rich>
      </c:tx>
      <c:layout>
        <c:manualLayout>
          <c:xMode val="edge"/>
          <c:yMode val="edge"/>
          <c:x val="0.1674677469135803"/>
          <c:y val="5.9972222222222225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Total Revenue (₹ Cr)</c:v>
          </c:tx>
          <c:spPr>
            <a:solidFill>
              <a:srgbClr val="C8511B"/>
            </a:solidFill>
            <a:ln>
              <a:prstDash val="solid"/>
            </a:ln>
          </c:spPr>
          <c:invertIfNegative val="1"/>
          <c:val>
            <c:numRef>
              <c:f>Summary_Dashboard!$C$21</c:f>
              <c:numCache>
                <c:formatCode>\₹#,##0;\(\₹#,##0\);"-"</c:formatCode>
                <c:ptCount val="1"/>
                <c:pt idx="0">
                  <c:v>3.7342719999999994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11B-4571-8161-A080515013D6}"/>
            </c:ext>
          </c:extLst>
        </c:ser>
        <c:ser>
          <c:idx val="1"/>
          <c:order val="1"/>
          <c:tx>
            <c:strRef>
              <c:f>Summary_Dashboard!$D$20</c:f>
              <c:strCache>
                <c:ptCount val="1"/>
                <c:pt idx="0">
                  <c:v>₹3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Summary_Dashboard!$D$21</c:f>
              <c:numCache>
                <c:formatCode>\₹#,##0;\(\₹#,##0\);"-"</c:formatCode>
                <c:ptCount val="1"/>
                <c:pt idx="0">
                  <c:v>15.621248000000001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1B-4571-8161-A080515013D6}"/>
            </c:ext>
          </c:extLst>
        </c:ser>
        <c:ser>
          <c:idx val="2"/>
          <c:order val="2"/>
          <c:tx>
            <c:strRef>
              <c:f>Summary_Dashboard!$E$20</c:f>
              <c:strCache>
                <c:ptCount val="1"/>
                <c:pt idx="0">
                  <c:v>₹10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Summary_Dashboard!$E$21</c:f>
              <c:numCache>
                <c:formatCode>\₹#,##0;\(\₹#,##0\);"-"</c:formatCode>
                <c:ptCount val="1"/>
                <c:pt idx="0">
                  <c:v>43.6282912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1B-4571-8161-A08051501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₹ Cr</a:t>
                </a:r>
              </a:p>
            </c:rich>
          </c:tx>
          <c:overlay val="1"/>
        </c:title>
        <c:numFmt formatCode="\₹#,##0;\(\₹#,##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3633240740740737"/>
          <c:y val="0.32954728061589705"/>
          <c:w val="0.19534969135802469"/>
          <c:h val="0.16774502213197376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Year 3 Revenue Mix</a:t>
            </a:r>
          </a:p>
        </c:rich>
      </c:tx>
      <c:layout>
        <c:manualLayout>
          <c:xMode val="edge"/>
          <c:yMode val="edge"/>
          <c:x val="5.5808531746031738E-2"/>
          <c:y val="4.2333333333333334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Summary_Dashboard!$B$16:$B$20</c:f>
              <c:strCache>
                <c:ptCount val="5"/>
                <c:pt idx="0">
                  <c:v>Experience Revenue</c:v>
                </c:pt>
                <c:pt idx="1">
                  <c:v>Corporate B2B</c:v>
                </c:pt>
                <c:pt idx="2">
                  <c:v>Online Learning</c:v>
                </c:pt>
                <c:pt idx="3">
                  <c:v>Craft Kits</c:v>
                </c:pt>
                <c:pt idx="4">
                  <c:v>Merchandise</c:v>
                </c:pt>
              </c:strCache>
            </c:strRef>
          </c:cat>
          <c:val>
            <c:numRef>
              <c:f>Summary_Dashboard!$E$16:$E$20</c:f>
              <c:numCache>
                <c:formatCode>\₹#,##0;\(\₹#,##0\);"-"</c:formatCode>
                <c:ptCount val="5"/>
                <c:pt idx="0">
                  <c:v>12.474691200000002</c:v>
                </c:pt>
                <c:pt idx="1">
                  <c:v>8</c:v>
                </c:pt>
                <c:pt idx="2">
                  <c:v>3.8336000000000001</c:v>
                </c:pt>
                <c:pt idx="3">
                  <c:v>9.6</c:v>
                </c:pt>
                <c:pt idx="4">
                  <c:v>9.7200000000000006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9D-443E-9071-BBC3DE776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77670846699718077"/>
          <c:y val="0.69984443512608263"/>
          <c:w val="0.21888236192698135"/>
          <c:h val="0.297220798583609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23</xdr:row>
      <xdr:rowOff>0</xdr:rowOff>
    </xdr:from>
    <xdr:ext cx="6480000" cy="41071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335280</xdr:colOff>
      <xdr:row>23</xdr:row>
      <xdr:rowOff>137160</xdr:rowOff>
    </xdr:from>
    <xdr:ext cx="5760720" cy="386334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1A2E"/>
  </sheetPr>
  <dimension ref="B1:D16"/>
  <sheetViews>
    <sheetView showGridLines="0" workbookViewId="0">
      <selection activeCell="B19" sqref="B19"/>
    </sheetView>
  </sheetViews>
  <sheetFormatPr defaultRowHeight="14.4" x14ac:dyDescent="0.3"/>
  <cols>
    <col min="1" max="1" width="3" customWidth="1"/>
    <col min="2" max="2" width="35" customWidth="1"/>
    <col min="3" max="3" width="25" customWidth="1"/>
    <col min="4" max="4" width="20" customWidth="1"/>
  </cols>
  <sheetData>
    <row r="1" spans="2:4" ht="7.95" customHeight="1" x14ac:dyDescent="0.3"/>
    <row r="2" spans="2:4" ht="40.049999999999997" customHeight="1" x14ac:dyDescent="0.3">
      <c r="B2" s="63" t="s">
        <v>0</v>
      </c>
      <c r="C2" s="58"/>
      <c r="D2" s="58"/>
    </row>
    <row r="3" spans="2:4" ht="19.95" customHeight="1" x14ac:dyDescent="0.3">
      <c r="B3" s="61" t="s">
        <v>1</v>
      </c>
      <c r="C3" s="58"/>
      <c r="D3" s="58"/>
    </row>
    <row r="4" spans="2:4" ht="16.05" customHeight="1" x14ac:dyDescent="0.3">
      <c r="B4" s="64" t="s">
        <v>2</v>
      </c>
      <c r="C4" s="58"/>
      <c r="D4" s="58"/>
    </row>
    <row r="5" spans="2:4" ht="16.05" customHeight="1" x14ac:dyDescent="0.3">
      <c r="B5" s="62"/>
      <c r="C5" s="58"/>
      <c r="D5" s="58"/>
    </row>
    <row r="6" spans="2:4" ht="16.05" customHeight="1" x14ac:dyDescent="0.3">
      <c r="B6" s="2"/>
      <c r="C6" s="2"/>
      <c r="D6" s="2"/>
    </row>
    <row r="7" spans="2:4" ht="12" customHeight="1" x14ac:dyDescent="0.3"/>
    <row r="8" spans="2:4" ht="30" customHeight="1" x14ac:dyDescent="0.3">
      <c r="B8" s="3" t="s">
        <v>3</v>
      </c>
    </row>
    <row r="9" spans="2:4" ht="12" customHeight="1" x14ac:dyDescent="0.3"/>
    <row r="10" spans="2:4" ht="18" customHeight="1" x14ac:dyDescent="0.3">
      <c r="B10" s="4" t="s">
        <v>4</v>
      </c>
      <c r="C10" s="1" t="s">
        <v>5</v>
      </c>
    </row>
    <row r="11" spans="2:4" ht="18" customHeight="1" x14ac:dyDescent="0.3">
      <c r="B11" s="4" t="s">
        <v>6</v>
      </c>
      <c r="C11" s="1" t="s">
        <v>7</v>
      </c>
    </row>
    <row r="12" spans="2:4" ht="18" customHeight="1" x14ac:dyDescent="0.3">
      <c r="B12" s="4" t="s">
        <v>8</v>
      </c>
      <c r="C12" s="1" t="s">
        <v>9</v>
      </c>
    </row>
    <row r="13" spans="2:4" ht="18" customHeight="1" x14ac:dyDescent="0.3">
      <c r="B13" s="4" t="s">
        <v>10</v>
      </c>
      <c r="C13" s="1" t="s">
        <v>11</v>
      </c>
    </row>
    <row r="14" spans="2:4" ht="18" customHeight="1" x14ac:dyDescent="0.3">
      <c r="B14" s="4" t="s">
        <v>12</v>
      </c>
      <c r="C14" s="1" t="s">
        <v>13</v>
      </c>
    </row>
    <row r="15" spans="2:4" ht="12" customHeight="1" x14ac:dyDescent="0.3">
      <c r="B15" s="4" t="s">
        <v>14</v>
      </c>
      <c r="C15" s="1" t="s">
        <v>15</v>
      </c>
    </row>
    <row r="16" spans="2:4" ht="19.95" customHeight="1" x14ac:dyDescent="0.3">
      <c r="B16" s="5" t="s">
        <v>16</v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8511B"/>
  </sheetPr>
  <dimension ref="B1:F59"/>
  <sheetViews>
    <sheetView showGridLines="0" tabSelected="1" topLeftCell="A11" zoomScale="113" workbookViewId="0">
      <selection activeCell="I9" sqref="I9"/>
    </sheetView>
  </sheetViews>
  <sheetFormatPr defaultRowHeight="14.4" x14ac:dyDescent="0.3"/>
  <cols>
    <col min="1" max="1" width="2" customWidth="1"/>
    <col min="2" max="2" width="43.77734375" style="14" customWidth="1"/>
    <col min="3" max="3" width="22" style="14" customWidth="1"/>
    <col min="4" max="5" width="16" style="14" customWidth="1"/>
    <col min="6" max="6" width="22" style="14" customWidth="1"/>
  </cols>
  <sheetData>
    <row r="1" spans="2:6" ht="18" customHeight="1" x14ac:dyDescent="0.3">
      <c r="B1" s="60" t="s">
        <v>17</v>
      </c>
      <c r="C1" s="58"/>
      <c r="D1" s="58"/>
      <c r="E1" s="58"/>
      <c r="F1" s="58"/>
    </row>
    <row r="2" spans="2:6" ht="18" customHeight="1" x14ac:dyDescent="0.3">
      <c r="B2" s="57" t="s">
        <v>18</v>
      </c>
      <c r="C2" s="58"/>
      <c r="D2" s="58"/>
      <c r="E2" s="58"/>
      <c r="F2" s="58"/>
    </row>
    <row r="3" spans="2:6" ht="18" customHeight="1" x14ac:dyDescent="0.3"/>
    <row r="4" spans="2:6" ht="18" customHeight="1" x14ac:dyDescent="0.3">
      <c r="B4" s="59" t="s">
        <v>19</v>
      </c>
      <c r="C4" s="58"/>
      <c r="D4" s="58"/>
      <c r="E4" s="58"/>
      <c r="F4" s="58"/>
    </row>
    <row r="5" spans="2:6" ht="18" customHeight="1" x14ac:dyDescent="0.3">
      <c r="B5" s="6" t="s">
        <v>20</v>
      </c>
      <c r="C5" s="6" t="s">
        <v>21</v>
      </c>
      <c r="D5" s="6" t="s">
        <v>22</v>
      </c>
      <c r="E5" s="6" t="s">
        <v>23</v>
      </c>
      <c r="F5" s="6" t="s">
        <v>24</v>
      </c>
    </row>
    <row r="6" spans="2:6" ht="18" customHeight="1" x14ac:dyDescent="0.3">
      <c r="B6" s="23" t="s">
        <v>25</v>
      </c>
      <c r="C6" s="21" t="s">
        <v>26</v>
      </c>
      <c r="D6" s="39">
        <v>480</v>
      </c>
      <c r="E6" s="16">
        <v>500</v>
      </c>
      <c r="F6" s="39">
        <v>520</v>
      </c>
    </row>
    <row r="7" spans="2:6" ht="18" customHeight="1" x14ac:dyDescent="0.3">
      <c r="B7" s="23" t="s">
        <v>27</v>
      </c>
      <c r="C7" s="21" t="s">
        <v>28</v>
      </c>
      <c r="D7" s="40">
        <v>0.1</v>
      </c>
      <c r="E7" s="17">
        <v>0.12</v>
      </c>
      <c r="F7" s="40">
        <v>0.14000000000000001</v>
      </c>
    </row>
    <row r="8" spans="2:6" ht="18" customHeight="1" x14ac:dyDescent="0.3">
      <c r="B8" s="38" t="s">
        <v>29</v>
      </c>
      <c r="C8" s="43" t="s">
        <v>289</v>
      </c>
      <c r="D8" s="41">
        <f>D6*D7</f>
        <v>48</v>
      </c>
      <c r="E8" s="41">
        <f>E6*E7</f>
        <v>60</v>
      </c>
      <c r="F8" s="41">
        <f>F6*F7</f>
        <v>72.800000000000011</v>
      </c>
    </row>
    <row r="9" spans="2:6" ht="18" customHeight="1" x14ac:dyDescent="0.3">
      <c r="B9" s="23" t="s">
        <v>30</v>
      </c>
      <c r="C9" s="21" t="s">
        <v>31</v>
      </c>
      <c r="D9" s="42">
        <v>2000</v>
      </c>
      <c r="E9" s="18">
        <v>3000</v>
      </c>
      <c r="F9" s="42">
        <v>4000</v>
      </c>
    </row>
    <row r="10" spans="2:6" ht="18" customHeight="1" x14ac:dyDescent="0.3">
      <c r="B10" s="38" t="s">
        <v>32</v>
      </c>
      <c r="C10" s="24" t="s">
        <v>285</v>
      </c>
      <c r="D10" s="29">
        <f>D8*D9/100</f>
        <v>960</v>
      </c>
      <c r="E10" s="29">
        <f>E8*E9/100</f>
        <v>1800</v>
      </c>
      <c r="F10" s="29">
        <f>F8*F9/100</f>
        <v>2912.0000000000005</v>
      </c>
    </row>
    <row r="11" spans="2:6" ht="18" customHeight="1" x14ac:dyDescent="0.3"/>
    <row r="12" spans="2:6" ht="18" customHeight="1" x14ac:dyDescent="0.3">
      <c r="B12" s="59" t="s">
        <v>33</v>
      </c>
      <c r="C12" s="58"/>
      <c r="D12" s="58"/>
      <c r="E12" s="58"/>
      <c r="F12" s="58"/>
    </row>
    <row r="13" spans="2:6" ht="18" customHeight="1" x14ac:dyDescent="0.3">
      <c r="B13" s="6" t="s">
        <v>20</v>
      </c>
      <c r="C13" s="6" t="s">
        <v>21</v>
      </c>
      <c r="D13" s="6" t="s">
        <v>22</v>
      </c>
      <c r="E13" s="6" t="s">
        <v>23</v>
      </c>
      <c r="F13" s="6" t="s">
        <v>24</v>
      </c>
    </row>
    <row r="14" spans="2:6" ht="18" customHeight="1" x14ac:dyDescent="0.3">
      <c r="B14" s="23" t="s">
        <v>34</v>
      </c>
      <c r="C14" s="21" t="s">
        <v>35</v>
      </c>
      <c r="D14" s="23" t="s">
        <v>36</v>
      </c>
      <c r="E14" s="23" t="s">
        <v>36</v>
      </c>
      <c r="F14" s="23" t="s">
        <v>37</v>
      </c>
    </row>
    <row r="15" spans="2:6" ht="18" customHeight="1" x14ac:dyDescent="0.3">
      <c r="B15" s="23" t="s">
        <v>38</v>
      </c>
      <c r="C15" s="21" t="s">
        <v>39</v>
      </c>
      <c r="D15" s="40">
        <v>0.18</v>
      </c>
      <c r="E15" s="17">
        <v>0.2</v>
      </c>
      <c r="F15" s="40">
        <v>0.24</v>
      </c>
    </row>
    <row r="16" spans="2:6" ht="18" customHeight="1" x14ac:dyDescent="0.3">
      <c r="B16" s="38" t="s">
        <v>40</v>
      </c>
      <c r="C16" s="44">
        <f>D15</f>
        <v>0.18</v>
      </c>
      <c r="D16" s="41">
        <f>D8*D15</f>
        <v>8.64</v>
      </c>
      <c r="E16" s="41">
        <f>E8*E15</f>
        <v>12</v>
      </c>
      <c r="F16" s="41">
        <f>F8*F15</f>
        <v>17.472000000000001</v>
      </c>
    </row>
    <row r="17" spans="2:6" ht="18" customHeight="1" x14ac:dyDescent="0.3">
      <c r="B17" s="23" t="s">
        <v>41</v>
      </c>
      <c r="C17" s="21" t="s">
        <v>42</v>
      </c>
      <c r="D17" s="39">
        <v>2500</v>
      </c>
      <c r="E17" s="16">
        <v>3000</v>
      </c>
      <c r="F17" s="39">
        <v>3500</v>
      </c>
    </row>
    <row r="18" spans="2:6" ht="18" customHeight="1" x14ac:dyDescent="0.3">
      <c r="B18" s="38" t="s">
        <v>43</v>
      </c>
      <c r="C18" s="24" t="s">
        <v>288</v>
      </c>
      <c r="D18" s="29">
        <f>D16*D17/100</f>
        <v>216</v>
      </c>
      <c r="E18" s="29">
        <f>E16*E17/100</f>
        <v>360</v>
      </c>
      <c r="F18" s="29">
        <f>F16*F17/100</f>
        <v>611.5200000000001</v>
      </c>
    </row>
    <row r="19" spans="2:6" ht="18" customHeight="1" x14ac:dyDescent="0.3">
      <c r="B19" s="23" t="s">
        <v>44</v>
      </c>
      <c r="C19" s="21" t="s">
        <v>45</v>
      </c>
      <c r="D19" s="40">
        <v>0.12</v>
      </c>
      <c r="E19" s="17">
        <v>0.14000000000000001</v>
      </c>
      <c r="F19" s="40">
        <v>0.18</v>
      </c>
    </row>
    <row r="20" spans="2:6" ht="18" customHeight="1" x14ac:dyDescent="0.3"/>
    <row r="21" spans="2:6" ht="18" customHeight="1" x14ac:dyDescent="0.3">
      <c r="B21" s="59" t="s">
        <v>46</v>
      </c>
      <c r="C21" s="58"/>
      <c r="D21" s="58"/>
      <c r="E21" s="58"/>
      <c r="F21" s="58"/>
    </row>
    <row r="22" spans="2:6" ht="18" customHeight="1" x14ac:dyDescent="0.3">
      <c r="B22" s="6" t="s">
        <v>20</v>
      </c>
      <c r="C22" s="6" t="s">
        <v>21</v>
      </c>
      <c r="D22" s="6" t="s">
        <v>47</v>
      </c>
      <c r="E22" s="6" t="s">
        <v>48</v>
      </c>
      <c r="F22" s="6" t="s">
        <v>49</v>
      </c>
    </row>
    <row r="23" spans="2:6" ht="18" customHeight="1" x14ac:dyDescent="0.3">
      <c r="B23" s="23" t="s">
        <v>50</v>
      </c>
      <c r="C23" s="21" t="s">
        <v>51</v>
      </c>
      <c r="D23" s="40">
        <v>1E-3</v>
      </c>
      <c r="E23" s="17">
        <v>3.0000000000000001E-3</v>
      </c>
      <c r="F23" s="40">
        <v>5.0000000000000001E-3</v>
      </c>
    </row>
    <row r="24" spans="2:6" ht="18" customHeight="1" x14ac:dyDescent="0.3">
      <c r="B24" s="38" t="s">
        <v>52</v>
      </c>
      <c r="C24" s="24" t="s">
        <v>286</v>
      </c>
      <c r="D24" s="29">
        <f>E18*D23</f>
        <v>0.36</v>
      </c>
      <c r="E24" s="29">
        <f>E18*E23</f>
        <v>1.08</v>
      </c>
      <c r="F24" s="29">
        <f>E18*F23</f>
        <v>1.8</v>
      </c>
    </row>
    <row r="25" spans="2:6" ht="18" customHeight="1" x14ac:dyDescent="0.3">
      <c r="B25" s="38" t="s">
        <v>53</v>
      </c>
      <c r="C25" s="24" t="s">
        <v>287</v>
      </c>
      <c r="D25" s="25">
        <f>D24/E18</f>
        <v>1E-3</v>
      </c>
      <c r="E25" s="25">
        <f>E24/E18</f>
        <v>3.0000000000000001E-3</v>
      </c>
      <c r="F25" s="25">
        <f>F24/E18</f>
        <v>5.0000000000000001E-3</v>
      </c>
    </row>
    <row r="26" spans="2:6" ht="18" customHeight="1" x14ac:dyDescent="0.3"/>
    <row r="27" spans="2:6" ht="18" customHeight="1" x14ac:dyDescent="0.3">
      <c r="B27" s="65" t="s">
        <v>54</v>
      </c>
      <c r="C27" s="58"/>
      <c r="D27" s="58"/>
      <c r="E27" s="58"/>
      <c r="F27" s="58"/>
    </row>
    <row r="28" spans="2:6" ht="18" customHeight="1" x14ac:dyDescent="0.3">
      <c r="B28" s="6" t="s">
        <v>55</v>
      </c>
      <c r="C28" s="6" t="s">
        <v>56</v>
      </c>
      <c r="D28" s="6" t="s">
        <v>22</v>
      </c>
      <c r="E28" s="6" t="s">
        <v>23</v>
      </c>
      <c r="F28" s="6" t="s">
        <v>24</v>
      </c>
    </row>
    <row r="29" spans="2:6" ht="18" customHeight="1" x14ac:dyDescent="0.3">
      <c r="B29" s="35" t="s">
        <v>32</v>
      </c>
      <c r="C29" s="24" t="s">
        <v>57</v>
      </c>
      <c r="D29" s="30">
        <f>D10</f>
        <v>960</v>
      </c>
      <c r="E29" s="30">
        <f>E10</f>
        <v>1800</v>
      </c>
      <c r="F29" s="30">
        <f>F10</f>
        <v>2912.0000000000005</v>
      </c>
    </row>
    <row r="30" spans="2:6" ht="18" customHeight="1" x14ac:dyDescent="0.3">
      <c r="B30" s="35" t="s">
        <v>43</v>
      </c>
      <c r="C30" s="24" t="s">
        <v>58</v>
      </c>
      <c r="D30" s="30">
        <f>D18</f>
        <v>216</v>
      </c>
      <c r="E30" s="30">
        <f>E18</f>
        <v>360</v>
      </c>
      <c r="F30" s="30">
        <f>F18</f>
        <v>611.5200000000001</v>
      </c>
    </row>
    <row r="31" spans="2:6" ht="18" customHeight="1" x14ac:dyDescent="0.3">
      <c r="B31" s="35" t="s">
        <v>59</v>
      </c>
      <c r="C31" s="24" t="s">
        <v>60</v>
      </c>
      <c r="D31" s="30">
        <f>D24</f>
        <v>0.36</v>
      </c>
      <c r="E31" s="30">
        <f>E24</f>
        <v>1.08</v>
      </c>
      <c r="F31" s="30">
        <f>F24</f>
        <v>1.8</v>
      </c>
    </row>
    <row r="32" spans="2:6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  <row r="46" ht="18" customHeight="1" x14ac:dyDescent="0.3"/>
    <row r="47" ht="18" customHeight="1" x14ac:dyDescent="0.3"/>
    <row r="48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</sheetData>
  <mergeCells count="6">
    <mergeCell ref="B1:F1"/>
    <mergeCell ref="B27:F27"/>
    <mergeCell ref="B4:F4"/>
    <mergeCell ref="B21:F21"/>
    <mergeCell ref="B12:F12"/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4A017"/>
  </sheetPr>
  <dimension ref="B1:G79"/>
  <sheetViews>
    <sheetView showGridLines="0" topLeftCell="A39" workbookViewId="0">
      <selection activeCell="J7" sqref="J7"/>
    </sheetView>
  </sheetViews>
  <sheetFormatPr defaultRowHeight="14.4" x14ac:dyDescent="0.3"/>
  <cols>
    <col min="1" max="1" width="2" customWidth="1"/>
    <col min="2" max="2" width="38" style="14" customWidth="1"/>
    <col min="3" max="3" width="18" style="14" customWidth="1"/>
    <col min="4" max="6" width="14" style="14" customWidth="1"/>
    <col min="7" max="7" width="29" style="14" customWidth="1"/>
  </cols>
  <sheetData>
    <row r="1" spans="2:7" ht="16.95" customHeight="1" x14ac:dyDescent="0.3">
      <c r="B1" s="60" t="s">
        <v>61</v>
      </c>
      <c r="C1" s="58"/>
      <c r="D1" s="58"/>
      <c r="E1" s="58"/>
      <c r="F1" s="58"/>
      <c r="G1" s="58"/>
    </row>
    <row r="2" spans="2:7" ht="16.95" customHeight="1" x14ac:dyDescent="0.3">
      <c r="B2" s="57" t="s">
        <v>62</v>
      </c>
      <c r="C2" s="58"/>
      <c r="D2" s="58"/>
      <c r="E2" s="58"/>
      <c r="F2" s="58"/>
      <c r="G2" s="58"/>
    </row>
    <row r="3" spans="2:7" ht="16.95" customHeight="1" x14ac:dyDescent="0.3"/>
    <row r="4" spans="2:7" ht="16.95" customHeight="1" x14ac:dyDescent="0.3">
      <c r="B4" s="59" t="s">
        <v>63</v>
      </c>
      <c r="C4" s="58"/>
      <c r="D4" s="58"/>
      <c r="E4" s="58"/>
      <c r="F4" s="58"/>
      <c r="G4" s="58"/>
    </row>
    <row r="5" spans="2:7" ht="16.95" customHeight="1" x14ac:dyDescent="0.3">
      <c r="B5" s="6" t="s">
        <v>28</v>
      </c>
      <c r="C5" s="6" t="s">
        <v>64</v>
      </c>
      <c r="D5" s="6" t="s">
        <v>47</v>
      </c>
      <c r="E5" s="6" t="s">
        <v>48</v>
      </c>
      <c r="F5" s="6" t="s">
        <v>49</v>
      </c>
      <c r="G5" s="6" t="s">
        <v>65</v>
      </c>
    </row>
    <row r="6" spans="2:7" ht="16.95" customHeight="1" x14ac:dyDescent="0.3">
      <c r="B6" s="22" t="s">
        <v>66</v>
      </c>
      <c r="C6" s="21" t="s">
        <v>67</v>
      </c>
      <c r="D6" s="15">
        <v>0.14000000000000001</v>
      </c>
      <c r="E6" s="15">
        <v>0.14000000000000001</v>
      </c>
      <c r="F6" s="15">
        <v>0.14000000000000001</v>
      </c>
      <c r="G6" s="21" t="s">
        <v>68</v>
      </c>
    </row>
    <row r="7" spans="2:7" ht="16.95" customHeight="1" x14ac:dyDescent="0.3">
      <c r="B7" s="23" t="s">
        <v>69</v>
      </c>
      <c r="C7" s="21" t="s">
        <v>70</v>
      </c>
      <c r="D7" s="16">
        <v>2</v>
      </c>
      <c r="E7" s="16">
        <v>4</v>
      </c>
      <c r="F7" s="16">
        <v>6</v>
      </c>
      <c r="G7" s="21" t="s">
        <v>71</v>
      </c>
    </row>
    <row r="8" spans="2:7" ht="16.95" customHeight="1" x14ac:dyDescent="0.3">
      <c r="B8" s="23" t="s">
        <v>72</v>
      </c>
      <c r="C8" s="21" t="s">
        <v>73</v>
      </c>
      <c r="D8" s="17">
        <v>0.18</v>
      </c>
      <c r="E8" s="17">
        <v>0.18</v>
      </c>
      <c r="F8" s="17">
        <v>0.18</v>
      </c>
      <c r="G8" s="21" t="s">
        <v>74</v>
      </c>
    </row>
    <row r="9" spans="2:7" ht="16.95" customHeight="1" x14ac:dyDescent="0.3">
      <c r="B9" s="23" t="s">
        <v>75</v>
      </c>
      <c r="C9" s="21" t="s">
        <v>73</v>
      </c>
      <c r="D9" s="17">
        <v>0.12</v>
      </c>
      <c r="E9" s="17">
        <v>0.12</v>
      </c>
      <c r="F9" s="17">
        <v>0.12</v>
      </c>
      <c r="G9" s="21" t="s">
        <v>76</v>
      </c>
    </row>
    <row r="10" spans="2:7" ht="16.95" customHeight="1" x14ac:dyDescent="0.3"/>
    <row r="11" spans="2:7" ht="16.95" customHeight="1" x14ac:dyDescent="0.3">
      <c r="B11" s="59" t="s">
        <v>77</v>
      </c>
      <c r="C11" s="58"/>
      <c r="D11" s="58"/>
      <c r="E11" s="58"/>
      <c r="F11" s="58"/>
      <c r="G11" s="58"/>
    </row>
    <row r="12" spans="2:7" ht="16.95" customHeight="1" x14ac:dyDescent="0.3">
      <c r="B12" s="6" t="s">
        <v>28</v>
      </c>
      <c r="C12" s="6" t="s">
        <v>64</v>
      </c>
      <c r="D12" s="6" t="s">
        <v>47</v>
      </c>
      <c r="E12" s="6" t="s">
        <v>48</v>
      </c>
      <c r="F12" s="6" t="s">
        <v>49</v>
      </c>
      <c r="G12" s="6" t="s">
        <v>65</v>
      </c>
    </row>
    <row r="13" spans="2:7" ht="16.95" customHeight="1" x14ac:dyDescent="0.3">
      <c r="B13" s="23" t="s">
        <v>78</v>
      </c>
      <c r="C13" s="21" t="s">
        <v>79</v>
      </c>
      <c r="D13" s="18">
        <v>1000</v>
      </c>
      <c r="E13" s="18">
        <v>1050</v>
      </c>
      <c r="F13" s="18">
        <v>1100</v>
      </c>
      <c r="G13" s="21" t="s">
        <v>80</v>
      </c>
    </row>
    <row r="14" spans="2:7" ht="16.95" customHeight="1" x14ac:dyDescent="0.3">
      <c r="B14" s="22" t="s">
        <v>81</v>
      </c>
      <c r="C14" s="21" t="s">
        <v>79</v>
      </c>
      <c r="D14" s="19">
        <v>4500</v>
      </c>
      <c r="E14" s="19">
        <v>4800</v>
      </c>
      <c r="F14" s="19">
        <v>5000</v>
      </c>
      <c r="G14" s="21" t="s">
        <v>82</v>
      </c>
    </row>
    <row r="15" spans="2:7" ht="16.95" customHeight="1" x14ac:dyDescent="0.3">
      <c r="B15" s="23" t="s">
        <v>83</v>
      </c>
      <c r="C15" s="21" t="s">
        <v>84</v>
      </c>
      <c r="D15" s="18">
        <v>25000</v>
      </c>
      <c r="E15" s="18">
        <v>28000</v>
      </c>
      <c r="F15" s="18">
        <v>32000</v>
      </c>
      <c r="G15" s="21" t="s">
        <v>85</v>
      </c>
    </row>
    <row r="16" spans="2:7" ht="16.95" customHeight="1" x14ac:dyDescent="0.3">
      <c r="B16" s="22" t="s">
        <v>86</v>
      </c>
      <c r="C16" s="21" t="s">
        <v>87</v>
      </c>
      <c r="D16" s="19">
        <v>150000</v>
      </c>
      <c r="E16" s="19">
        <v>175000</v>
      </c>
      <c r="F16" s="19">
        <v>200000</v>
      </c>
      <c r="G16" s="21" t="s">
        <v>88</v>
      </c>
    </row>
    <row r="17" spans="2:7" ht="16.95" customHeight="1" x14ac:dyDescent="0.3">
      <c r="B17" s="23" t="s">
        <v>89</v>
      </c>
      <c r="C17" s="21" t="s">
        <v>90</v>
      </c>
      <c r="D17" s="18">
        <v>499</v>
      </c>
      <c r="E17" s="18">
        <v>549</v>
      </c>
      <c r="F17" s="18">
        <v>599</v>
      </c>
      <c r="G17" s="21" t="s">
        <v>91</v>
      </c>
    </row>
    <row r="18" spans="2:7" ht="16.95" customHeight="1" x14ac:dyDescent="0.3">
      <c r="B18" s="23" t="s">
        <v>92</v>
      </c>
      <c r="C18" s="21" t="s">
        <v>93</v>
      </c>
      <c r="D18" s="18">
        <v>1800</v>
      </c>
      <c r="E18" s="18">
        <v>1900</v>
      </c>
      <c r="F18" s="18">
        <v>2000</v>
      </c>
      <c r="G18" s="21" t="s">
        <v>94</v>
      </c>
    </row>
    <row r="19" spans="2:7" ht="16.95" customHeight="1" x14ac:dyDescent="0.3">
      <c r="B19" s="23" t="s">
        <v>95</v>
      </c>
      <c r="C19" s="21" t="s">
        <v>93</v>
      </c>
      <c r="D19" s="18">
        <v>3500</v>
      </c>
      <c r="E19" s="18">
        <v>4000</v>
      </c>
      <c r="F19" s="18">
        <v>4500</v>
      </c>
      <c r="G19" s="21" t="s">
        <v>96</v>
      </c>
    </row>
    <row r="20" spans="2:7" ht="16.95" customHeight="1" x14ac:dyDescent="0.3"/>
    <row r="21" spans="2:7" ht="16.95" customHeight="1" x14ac:dyDescent="0.3">
      <c r="B21" s="59" t="s">
        <v>97</v>
      </c>
      <c r="C21" s="58"/>
      <c r="D21" s="58"/>
      <c r="E21" s="58"/>
      <c r="F21" s="58"/>
      <c r="G21" s="58"/>
    </row>
    <row r="22" spans="2:7" ht="16.95" customHeight="1" x14ac:dyDescent="0.3">
      <c r="B22" s="6" t="s">
        <v>28</v>
      </c>
      <c r="C22" s="6" t="s">
        <v>64</v>
      </c>
      <c r="D22" s="6" t="s">
        <v>47</v>
      </c>
      <c r="E22" s="6" t="s">
        <v>48</v>
      </c>
      <c r="F22" s="6" t="s">
        <v>49</v>
      </c>
      <c r="G22" s="6" t="s">
        <v>65</v>
      </c>
    </row>
    <row r="23" spans="2:7" ht="16.95" customHeight="1" x14ac:dyDescent="0.3">
      <c r="B23" s="23" t="s">
        <v>98</v>
      </c>
      <c r="C23" s="21" t="s">
        <v>99</v>
      </c>
      <c r="D23" s="16">
        <v>2</v>
      </c>
      <c r="E23" s="16">
        <v>4</v>
      </c>
      <c r="F23" s="16">
        <v>6</v>
      </c>
      <c r="G23" s="21" t="s">
        <v>100</v>
      </c>
    </row>
    <row r="24" spans="2:7" ht="16.95" customHeight="1" x14ac:dyDescent="0.3">
      <c r="B24" s="23" t="s">
        <v>101</v>
      </c>
      <c r="C24" s="21" t="s">
        <v>99</v>
      </c>
      <c r="D24" s="16">
        <v>12</v>
      </c>
      <c r="E24" s="16">
        <v>15</v>
      </c>
      <c r="F24" s="16">
        <v>18</v>
      </c>
      <c r="G24" s="21" t="s">
        <v>102</v>
      </c>
    </row>
    <row r="25" spans="2:7" ht="16.95" customHeight="1" x14ac:dyDescent="0.3">
      <c r="B25" s="22" t="s">
        <v>103</v>
      </c>
      <c r="C25" s="21" t="s">
        <v>67</v>
      </c>
      <c r="D25" s="15">
        <v>0.6</v>
      </c>
      <c r="E25" s="15">
        <v>0.7</v>
      </c>
      <c r="F25" s="15">
        <v>0.78</v>
      </c>
      <c r="G25" s="21" t="s">
        <v>104</v>
      </c>
    </row>
    <row r="26" spans="2:7" ht="16.95" customHeight="1" x14ac:dyDescent="0.3">
      <c r="B26" s="23" t="s">
        <v>105</v>
      </c>
      <c r="C26" s="21" t="s">
        <v>99</v>
      </c>
      <c r="D26" s="16">
        <v>8</v>
      </c>
      <c r="E26" s="16">
        <v>9</v>
      </c>
      <c r="F26" s="16">
        <v>10</v>
      </c>
      <c r="G26" s="21" t="s">
        <v>106</v>
      </c>
    </row>
    <row r="27" spans="2:7" ht="16.95" customHeight="1" x14ac:dyDescent="0.3">
      <c r="B27" s="23" t="s">
        <v>107</v>
      </c>
      <c r="C27" s="21" t="s">
        <v>99</v>
      </c>
      <c r="D27" s="16">
        <v>60</v>
      </c>
      <c r="E27" s="16">
        <v>200</v>
      </c>
      <c r="F27" s="16">
        <v>400</v>
      </c>
      <c r="G27" s="21" t="s">
        <v>108</v>
      </c>
    </row>
    <row r="28" spans="2:7" ht="16.95" customHeight="1" x14ac:dyDescent="0.3">
      <c r="B28" s="22" t="s">
        <v>109</v>
      </c>
      <c r="C28" s="21" t="s">
        <v>99</v>
      </c>
      <c r="D28" s="20">
        <v>500</v>
      </c>
      <c r="E28" s="20">
        <v>2500</v>
      </c>
      <c r="F28" s="20">
        <v>8000</v>
      </c>
      <c r="G28" s="21" t="s">
        <v>110</v>
      </c>
    </row>
    <row r="29" spans="2:7" ht="16.95" customHeight="1" x14ac:dyDescent="0.3">
      <c r="B29" s="23" t="s">
        <v>111</v>
      </c>
      <c r="C29" s="21" t="s">
        <v>99</v>
      </c>
      <c r="D29" s="16">
        <v>200</v>
      </c>
      <c r="E29" s="16">
        <v>1200</v>
      </c>
      <c r="F29" s="16">
        <v>4000</v>
      </c>
      <c r="G29" s="21" t="s">
        <v>112</v>
      </c>
    </row>
    <row r="30" spans="2:7" ht="16.95" customHeight="1" x14ac:dyDescent="0.3">
      <c r="B30" s="23" t="s">
        <v>113</v>
      </c>
      <c r="C30" s="21" t="s">
        <v>99</v>
      </c>
      <c r="D30" s="16">
        <v>150</v>
      </c>
      <c r="E30" s="16">
        <v>600</v>
      </c>
      <c r="F30" s="16">
        <v>1800</v>
      </c>
      <c r="G30" s="21" t="s">
        <v>114</v>
      </c>
    </row>
    <row r="31" spans="2:7" ht="16.95" customHeight="1" x14ac:dyDescent="0.3"/>
    <row r="32" spans="2:7" ht="16.95" customHeight="1" x14ac:dyDescent="0.3">
      <c r="B32" s="59" t="s">
        <v>115</v>
      </c>
      <c r="C32" s="58"/>
      <c r="D32" s="58"/>
      <c r="E32" s="58"/>
      <c r="F32" s="58"/>
      <c r="G32" s="58"/>
    </row>
    <row r="33" spans="2:7" ht="16.95" customHeight="1" x14ac:dyDescent="0.3">
      <c r="B33" s="6" t="s">
        <v>28</v>
      </c>
      <c r="C33" s="6" t="s">
        <v>64</v>
      </c>
      <c r="D33" s="6" t="s">
        <v>47</v>
      </c>
      <c r="E33" s="6" t="s">
        <v>48</v>
      </c>
      <c r="F33" s="6" t="s">
        <v>49</v>
      </c>
      <c r="G33" s="6" t="s">
        <v>65</v>
      </c>
    </row>
    <row r="34" spans="2:7" ht="16.95" customHeight="1" x14ac:dyDescent="0.3">
      <c r="B34" s="23" t="s">
        <v>116</v>
      </c>
      <c r="C34" s="21" t="s">
        <v>117</v>
      </c>
      <c r="D34" s="17">
        <v>0.3</v>
      </c>
      <c r="E34" s="17">
        <v>0.32</v>
      </c>
      <c r="F34" s="17">
        <v>0.34</v>
      </c>
      <c r="G34" s="21" t="s">
        <v>118</v>
      </c>
    </row>
    <row r="35" spans="2:7" ht="16.95" customHeight="1" x14ac:dyDescent="0.3">
      <c r="B35" s="23" t="s">
        <v>119</v>
      </c>
      <c r="C35" s="21" t="s">
        <v>67</v>
      </c>
      <c r="D35" s="17">
        <v>0.25</v>
      </c>
      <c r="E35" s="17">
        <v>0.25</v>
      </c>
      <c r="F35" s="17">
        <v>0.25</v>
      </c>
      <c r="G35" s="21" t="s">
        <v>120</v>
      </c>
    </row>
    <row r="36" spans="2:7" ht="16.95" customHeight="1" x14ac:dyDescent="0.3">
      <c r="B36" s="23" t="s">
        <v>121</v>
      </c>
      <c r="C36" s="21" t="s">
        <v>117</v>
      </c>
      <c r="D36" s="17">
        <v>0.45</v>
      </c>
      <c r="E36" s="17">
        <v>0.5</v>
      </c>
      <c r="F36" s="17">
        <v>0.55000000000000004</v>
      </c>
      <c r="G36" s="21" t="s">
        <v>122</v>
      </c>
    </row>
    <row r="37" spans="2:7" ht="16.95" customHeight="1" x14ac:dyDescent="0.3">
      <c r="B37" s="22" t="s">
        <v>123</v>
      </c>
      <c r="C37" s="21" t="s">
        <v>67</v>
      </c>
      <c r="D37" s="15">
        <v>0.18</v>
      </c>
      <c r="E37" s="15">
        <v>0.15</v>
      </c>
      <c r="F37" s="15">
        <v>0.12</v>
      </c>
      <c r="G37" s="21" t="s">
        <v>124</v>
      </c>
    </row>
    <row r="38" spans="2:7" ht="16.95" customHeight="1" x14ac:dyDescent="0.3">
      <c r="B38" s="23" t="s">
        <v>125</v>
      </c>
      <c r="C38" s="21" t="s">
        <v>67</v>
      </c>
      <c r="D38" s="17">
        <v>0.35</v>
      </c>
      <c r="E38" s="17">
        <v>0.33</v>
      </c>
      <c r="F38" s="17">
        <v>0.3</v>
      </c>
      <c r="G38" s="21" t="s">
        <v>126</v>
      </c>
    </row>
    <row r="39" spans="2:7" ht="16.95" customHeight="1" x14ac:dyDescent="0.3">
      <c r="B39" s="23" t="s">
        <v>127</v>
      </c>
      <c r="C39" s="21" t="s">
        <v>67</v>
      </c>
      <c r="D39" s="17">
        <v>0.55000000000000004</v>
      </c>
      <c r="E39" s="17">
        <v>0.52</v>
      </c>
      <c r="F39" s="17">
        <v>0.5</v>
      </c>
      <c r="G39" s="21" t="s">
        <v>128</v>
      </c>
    </row>
    <row r="40" spans="2:7" ht="16.95" customHeight="1" x14ac:dyDescent="0.3">
      <c r="B40" s="23" t="s">
        <v>129</v>
      </c>
      <c r="C40" s="21" t="s">
        <v>67</v>
      </c>
      <c r="D40" s="17">
        <v>0.25</v>
      </c>
      <c r="E40" s="17">
        <v>0.22</v>
      </c>
      <c r="F40" s="17">
        <v>0.2</v>
      </c>
      <c r="G40" s="21" t="s">
        <v>130</v>
      </c>
    </row>
    <row r="41" spans="2:7" ht="16.95" customHeight="1" x14ac:dyDescent="0.3">
      <c r="B41" s="23" t="s">
        <v>131</v>
      </c>
      <c r="C41" s="21" t="s">
        <v>67</v>
      </c>
      <c r="D41" s="17">
        <v>0.45</v>
      </c>
      <c r="E41" s="17">
        <v>0.43</v>
      </c>
      <c r="F41" s="17">
        <v>0.42</v>
      </c>
      <c r="G41" s="21" t="s">
        <v>132</v>
      </c>
    </row>
    <row r="42" spans="2:7" ht="16.95" customHeight="1" x14ac:dyDescent="0.3">
      <c r="B42" s="23" t="s">
        <v>133</v>
      </c>
      <c r="C42" s="21" t="s">
        <v>117</v>
      </c>
      <c r="D42" s="17">
        <v>0.8</v>
      </c>
      <c r="E42" s="18">
        <v>1.2</v>
      </c>
      <c r="F42" s="18">
        <v>1.8</v>
      </c>
      <c r="G42" s="21" t="s">
        <v>134</v>
      </c>
    </row>
    <row r="43" spans="2:7" ht="16.95" customHeight="1" x14ac:dyDescent="0.3"/>
    <row r="44" spans="2:7" ht="16.95" customHeight="1" x14ac:dyDescent="0.3">
      <c r="B44" s="59" t="s">
        <v>135</v>
      </c>
      <c r="C44" s="58"/>
      <c r="D44" s="58"/>
      <c r="E44" s="58"/>
      <c r="F44" s="58"/>
      <c r="G44" s="58"/>
    </row>
    <row r="45" spans="2:7" ht="16.95" customHeight="1" x14ac:dyDescent="0.3">
      <c r="B45" s="6" t="s">
        <v>28</v>
      </c>
      <c r="C45" s="6" t="s">
        <v>64</v>
      </c>
      <c r="D45" s="6" t="s">
        <v>47</v>
      </c>
      <c r="E45" s="6" t="s">
        <v>48</v>
      </c>
      <c r="F45" s="6" t="s">
        <v>49</v>
      </c>
      <c r="G45" s="6" t="s">
        <v>65</v>
      </c>
    </row>
    <row r="46" spans="2:7" ht="16.95" customHeight="1" x14ac:dyDescent="0.3">
      <c r="B46" s="22" t="s">
        <v>136</v>
      </c>
      <c r="C46" s="21" t="s">
        <v>137</v>
      </c>
      <c r="D46" s="19">
        <v>1200</v>
      </c>
      <c r="E46" s="19">
        <v>1000</v>
      </c>
      <c r="F46" s="19">
        <v>900</v>
      </c>
      <c r="G46" s="21" t="s">
        <v>138</v>
      </c>
    </row>
    <row r="47" spans="2:7" ht="16.95" customHeight="1" x14ac:dyDescent="0.3">
      <c r="B47" s="23" t="s">
        <v>139</v>
      </c>
      <c r="C47" s="21" t="s">
        <v>137</v>
      </c>
      <c r="D47" s="18">
        <v>6000</v>
      </c>
      <c r="E47" s="18">
        <v>5000</v>
      </c>
      <c r="F47" s="18">
        <v>4000</v>
      </c>
      <c r="G47" s="21" t="s">
        <v>140</v>
      </c>
    </row>
    <row r="48" spans="2:7" ht="16.95" customHeight="1" x14ac:dyDescent="0.3">
      <c r="B48" s="23" t="s">
        <v>141</v>
      </c>
      <c r="C48" s="21" t="s">
        <v>142</v>
      </c>
      <c r="D48" s="16">
        <v>24</v>
      </c>
      <c r="E48" s="16">
        <v>28</v>
      </c>
      <c r="F48" s="16">
        <v>32</v>
      </c>
      <c r="G48" s="21" t="s">
        <v>143</v>
      </c>
    </row>
    <row r="49" spans="2:7" ht="16.95" customHeight="1" x14ac:dyDescent="0.3">
      <c r="B49" s="23" t="s">
        <v>144</v>
      </c>
      <c r="C49" s="21" t="s">
        <v>67</v>
      </c>
      <c r="D49" s="17">
        <v>0.35</v>
      </c>
      <c r="E49" s="17">
        <v>0.42</v>
      </c>
      <c r="F49" s="17">
        <v>0.5</v>
      </c>
      <c r="G49" s="21" t="s">
        <v>145</v>
      </c>
    </row>
    <row r="50" spans="2:7" ht="16.95" customHeight="1" x14ac:dyDescent="0.3">
      <c r="B50" s="22" t="s">
        <v>146</v>
      </c>
      <c r="C50" s="21" t="s">
        <v>67</v>
      </c>
      <c r="D50" s="15">
        <v>0.06</v>
      </c>
      <c r="E50" s="15">
        <v>0.05</v>
      </c>
      <c r="F50" s="15">
        <v>0.04</v>
      </c>
      <c r="G50" s="21" t="s">
        <v>147</v>
      </c>
    </row>
    <row r="51" spans="2:7" ht="16.95" customHeight="1" x14ac:dyDescent="0.3"/>
    <row r="52" spans="2:7" ht="16.95" customHeight="1" x14ac:dyDescent="0.3"/>
    <row r="53" spans="2:7" ht="16.95" customHeight="1" x14ac:dyDescent="0.3"/>
    <row r="54" spans="2:7" ht="16.95" customHeight="1" x14ac:dyDescent="0.3"/>
    <row r="55" spans="2:7" ht="16.95" customHeight="1" x14ac:dyDescent="0.3"/>
    <row r="56" spans="2:7" ht="16.95" customHeight="1" x14ac:dyDescent="0.3"/>
    <row r="57" spans="2:7" ht="16.95" customHeight="1" x14ac:dyDescent="0.3"/>
    <row r="58" spans="2:7" ht="16.95" customHeight="1" x14ac:dyDescent="0.3"/>
    <row r="59" spans="2:7" ht="16.95" customHeight="1" x14ac:dyDescent="0.3"/>
    <row r="60" spans="2:7" ht="16.95" customHeight="1" x14ac:dyDescent="0.3"/>
    <row r="61" spans="2:7" ht="16.95" customHeight="1" x14ac:dyDescent="0.3"/>
    <row r="62" spans="2:7" ht="16.95" customHeight="1" x14ac:dyDescent="0.3"/>
    <row r="63" spans="2:7" ht="16.95" customHeight="1" x14ac:dyDescent="0.3"/>
    <row r="64" spans="2:7" ht="16.95" customHeight="1" x14ac:dyDescent="0.3"/>
    <row r="65" ht="16.95" customHeight="1" x14ac:dyDescent="0.3"/>
    <row r="66" ht="16.95" customHeight="1" x14ac:dyDescent="0.3"/>
    <row r="67" ht="16.95" customHeight="1" x14ac:dyDescent="0.3"/>
    <row r="68" ht="16.95" customHeight="1" x14ac:dyDescent="0.3"/>
    <row r="69" ht="16.95" customHeight="1" x14ac:dyDescent="0.3"/>
    <row r="70" ht="16.95" customHeight="1" x14ac:dyDescent="0.3"/>
    <row r="71" ht="16.95" customHeight="1" x14ac:dyDescent="0.3"/>
    <row r="72" ht="16.95" customHeight="1" x14ac:dyDescent="0.3"/>
    <row r="73" ht="16.95" customHeight="1" x14ac:dyDescent="0.3"/>
    <row r="74" ht="16.95" customHeight="1" x14ac:dyDescent="0.3"/>
    <row r="75" ht="16.95" customHeight="1" x14ac:dyDescent="0.3"/>
    <row r="76" ht="16.95" customHeight="1" x14ac:dyDescent="0.3"/>
    <row r="77" ht="16.95" customHeight="1" x14ac:dyDescent="0.3"/>
    <row r="78" ht="16.95" customHeight="1" x14ac:dyDescent="0.3"/>
    <row r="79" ht="16.95" customHeight="1" x14ac:dyDescent="0.3"/>
  </sheetData>
  <mergeCells count="7">
    <mergeCell ref="B2:G2"/>
    <mergeCell ref="B44:G44"/>
    <mergeCell ref="B1:G1"/>
    <mergeCell ref="B32:G32"/>
    <mergeCell ref="B4:G4"/>
    <mergeCell ref="B21:G21"/>
    <mergeCell ref="B11:G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B8F71"/>
  </sheetPr>
  <dimension ref="B1:G89"/>
  <sheetViews>
    <sheetView showGridLines="0" workbookViewId="0">
      <selection activeCell="G40" sqref="G40"/>
    </sheetView>
  </sheetViews>
  <sheetFormatPr defaultRowHeight="14.4" x14ac:dyDescent="0.3"/>
  <cols>
    <col min="1" max="1" width="2" customWidth="1"/>
    <col min="2" max="2" width="38" style="14" customWidth="1"/>
    <col min="3" max="3" width="43.33203125" style="14" customWidth="1"/>
    <col min="4" max="6" width="16" style="14" customWidth="1"/>
    <col min="7" max="7" width="14" style="14" customWidth="1"/>
  </cols>
  <sheetData>
    <row r="1" spans="2:7" ht="16.95" customHeight="1" x14ac:dyDescent="0.3">
      <c r="B1" s="60" t="s">
        <v>148</v>
      </c>
      <c r="C1" s="58"/>
      <c r="D1" s="58"/>
      <c r="E1" s="58"/>
      <c r="F1" s="58"/>
      <c r="G1" s="58"/>
    </row>
    <row r="2" spans="2:7" ht="16.95" customHeight="1" x14ac:dyDescent="0.3">
      <c r="B2" s="57" t="s">
        <v>149</v>
      </c>
      <c r="C2" s="58"/>
      <c r="D2" s="58"/>
      <c r="E2" s="58"/>
      <c r="F2" s="58"/>
      <c r="G2" s="58"/>
    </row>
    <row r="3" spans="2:7" ht="16.95" customHeight="1" x14ac:dyDescent="0.3"/>
    <row r="4" spans="2:7" ht="16.95" customHeight="1" x14ac:dyDescent="0.3">
      <c r="B4" s="66" t="s">
        <v>150</v>
      </c>
      <c r="C4" s="6" t="s">
        <v>151</v>
      </c>
      <c r="D4" s="6" t="s">
        <v>47</v>
      </c>
      <c r="E4" s="6" t="s">
        <v>48</v>
      </c>
      <c r="F4" s="6" t="s">
        <v>49</v>
      </c>
      <c r="G4" s="6" t="s">
        <v>152</v>
      </c>
    </row>
    <row r="5" spans="2:7" ht="16.95" customHeight="1" x14ac:dyDescent="0.3"/>
    <row r="6" spans="2:7" ht="16.95" customHeight="1" x14ac:dyDescent="0.3">
      <c r="B6" s="59" t="s">
        <v>153</v>
      </c>
      <c r="C6" s="58"/>
      <c r="D6" s="58"/>
      <c r="E6" s="58"/>
      <c r="F6" s="58"/>
      <c r="G6" s="58"/>
    </row>
    <row r="7" spans="2:7" ht="16.95" customHeight="1" x14ac:dyDescent="0.3">
      <c r="B7" s="23" t="s">
        <v>154</v>
      </c>
      <c r="C7" s="21" t="s">
        <v>155</v>
      </c>
      <c r="D7" s="27">
        <f>Assumptions!D23*Assumptions!D24*52*Assumptions!D25*Assumptions!D26*0.4</f>
        <v>2396.16</v>
      </c>
      <c r="E7" s="27">
        <f>Assumptions!E23*Assumptions!E24*52*Assumptions!E25*Assumptions!E26*0.4</f>
        <v>7862.4000000000005</v>
      </c>
      <c r="F7" s="27">
        <f>Assumptions!F23*Assumptions!F24*52*Assumptions!F25*Assumptions!F26*0.4</f>
        <v>17521.920000000002</v>
      </c>
      <c r="G7" s="33"/>
    </row>
    <row r="8" spans="2:7" ht="16.95" customHeight="1" x14ac:dyDescent="0.3">
      <c r="B8" s="23" t="s">
        <v>156</v>
      </c>
      <c r="C8" s="21" t="s">
        <v>157</v>
      </c>
      <c r="D8" s="28">
        <f>D7*Assumptions!D13/10000000</f>
        <v>0.239616</v>
      </c>
      <c r="E8" s="28">
        <f>E7*Assumptions!E13/10000000</f>
        <v>0.82555200000000006</v>
      </c>
      <c r="F8" s="28">
        <f>F7*Assumptions!F13/10000000</f>
        <v>1.9274112000000003</v>
      </c>
      <c r="G8" s="33">
        <f>(F8/D8)^(1/2)-1</f>
        <v>1.8361505601783557</v>
      </c>
    </row>
    <row r="9" spans="2:7" ht="16.95" customHeight="1" x14ac:dyDescent="0.3">
      <c r="B9" s="23" t="s">
        <v>158</v>
      </c>
      <c r="C9" s="21" t="s">
        <v>159</v>
      </c>
      <c r="D9" s="27">
        <f>Assumptions!D23*Assumptions!D24*52*Assumptions!D25*Assumptions!D26*0.45</f>
        <v>2695.68</v>
      </c>
      <c r="E9" s="27">
        <f>Assumptions!E23*Assumptions!E24*52*Assumptions!E25*Assumptions!E26*0.45</f>
        <v>8845.2000000000007</v>
      </c>
      <c r="F9" s="27">
        <f>Assumptions!F23*Assumptions!F24*52*Assumptions!F25*Assumptions!F26*0.45</f>
        <v>19712.160000000003</v>
      </c>
      <c r="G9" s="33"/>
    </row>
    <row r="10" spans="2:7" ht="16.95" customHeight="1" x14ac:dyDescent="0.3">
      <c r="B10" s="23" t="s">
        <v>160</v>
      </c>
      <c r="C10" s="21" t="s">
        <v>157</v>
      </c>
      <c r="D10" s="28">
        <f>D9*Assumptions!D14/10000000</f>
        <v>1.2130559999999999</v>
      </c>
      <c r="E10" s="28">
        <f>E9*Assumptions!E14/10000000</f>
        <v>4.2456959999999997</v>
      </c>
      <c r="F10" s="28">
        <f>F9*Assumptions!F14/10000000</f>
        <v>9.8560800000000022</v>
      </c>
      <c r="G10" s="33">
        <f>(F10/D10)^(1/2)-1</f>
        <v>1.8504385627478452</v>
      </c>
    </row>
    <row r="11" spans="2:7" ht="16.95" customHeight="1" x14ac:dyDescent="0.3">
      <c r="B11" s="23" t="s">
        <v>161</v>
      </c>
      <c r="C11" s="21" t="s">
        <v>162</v>
      </c>
      <c r="D11" s="27">
        <f>Assumptions!D23*24</f>
        <v>48</v>
      </c>
      <c r="E11" s="27">
        <f>Assumptions!E23*30</f>
        <v>120</v>
      </c>
      <c r="F11" s="27">
        <f>Assumptions!F23*36</f>
        <v>216</v>
      </c>
      <c r="G11" s="33"/>
    </row>
    <row r="12" spans="2:7" ht="16.95" customHeight="1" x14ac:dyDescent="0.3">
      <c r="B12" s="23" t="s">
        <v>163</v>
      </c>
      <c r="C12" s="21" t="s">
        <v>164</v>
      </c>
      <c r="D12" s="28">
        <f>D11*Assumptions!D15/10000000</f>
        <v>0.12</v>
      </c>
      <c r="E12" s="28">
        <f>E11*Assumptions!E15/10000000</f>
        <v>0.33600000000000002</v>
      </c>
      <c r="F12" s="28">
        <f>F11*Assumptions!F15/10000000</f>
        <v>0.69120000000000004</v>
      </c>
      <c r="G12" s="33">
        <f>(F12/D12)^(1/2)-1</f>
        <v>1.4000000000000004</v>
      </c>
    </row>
    <row r="13" spans="2:7" ht="16.95" customHeight="1" x14ac:dyDescent="0.3">
      <c r="B13" s="35" t="s">
        <v>165</v>
      </c>
      <c r="C13" s="24" t="s">
        <v>290</v>
      </c>
      <c r="D13" s="29">
        <f>D8+D10+D12</f>
        <v>1.5726719999999998</v>
      </c>
      <c r="E13" s="29">
        <f>E8+E10+E12</f>
        <v>5.4072480000000001</v>
      </c>
      <c r="F13" s="29">
        <f>F8+F10+F12</f>
        <v>12.474691200000002</v>
      </c>
      <c r="G13" s="32">
        <f>(F13/D13)^(1/2)-1</f>
        <v>1.8164096559304568</v>
      </c>
    </row>
    <row r="14" spans="2:7" ht="16.95" customHeight="1" x14ac:dyDescent="0.3"/>
    <row r="15" spans="2:7" ht="16.95" customHeight="1" x14ac:dyDescent="0.3">
      <c r="B15" s="59" t="s">
        <v>166</v>
      </c>
      <c r="C15" s="58"/>
      <c r="D15" s="58"/>
      <c r="E15" s="58"/>
      <c r="F15" s="58"/>
      <c r="G15" s="58"/>
    </row>
    <row r="16" spans="2:7" ht="16.95" customHeight="1" x14ac:dyDescent="0.3">
      <c r="B16" s="35" t="s">
        <v>167</v>
      </c>
      <c r="C16" s="24" t="s">
        <v>168</v>
      </c>
      <c r="D16" s="29">
        <f>Assumptions!D27*Assumptions!D16/10000000</f>
        <v>0.9</v>
      </c>
      <c r="E16" s="29">
        <f>Assumptions!E27*Assumptions!E16/10000000</f>
        <v>3.5</v>
      </c>
      <c r="F16" s="29">
        <f>Assumptions!F27*Assumptions!F16/10000000</f>
        <v>8</v>
      </c>
      <c r="G16" s="32">
        <f>(F16/D16)^(1/2)-1</f>
        <v>1.9814239699997196</v>
      </c>
    </row>
    <row r="17" spans="2:7" ht="16.95" customHeight="1" x14ac:dyDescent="0.3"/>
    <row r="18" spans="2:7" ht="16.95" customHeight="1" x14ac:dyDescent="0.3">
      <c r="B18" s="59" t="s">
        <v>169</v>
      </c>
      <c r="C18" s="58"/>
      <c r="D18" s="58"/>
      <c r="E18" s="58"/>
      <c r="F18" s="58"/>
      <c r="G18" s="58"/>
    </row>
    <row r="19" spans="2:7" ht="16.95" customHeight="1" x14ac:dyDescent="0.3">
      <c r="B19" s="35" t="s">
        <v>170</v>
      </c>
      <c r="C19" s="24" t="s">
        <v>171</v>
      </c>
      <c r="D19" s="29">
        <f>(Assumptions!D28/1.5)*Assumptions!D17*12/10000000</f>
        <v>0.19959999999999997</v>
      </c>
      <c r="E19" s="29">
        <f>(Assumptions!E28/1.5)*Assumptions!E17*12/10000000</f>
        <v>1.0980000000000001</v>
      </c>
      <c r="F19" s="29">
        <f>(Assumptions!F28/1.5)*Assumptions!F17*12/10000000</f>
        <v>3.8336000000000001</v>
      </c>
      <c r="G19" s="32">
        <f>(F19/D19)^(1/2)-1</f>
        <v>3.3825121592131726</v>
      </c>
    </row>
    <row r="20" spans="2:7" ht="16.95" customHeight="1" x14ac:dyDescent="0.3"/>
    <row r="21" spans="2:7" ht="16.95" customHeight="1" x14ac:dyDescent="0.3">
      <c r="B21" s="59" t="s">
        <v>172</v>
      </c>
      <c r="C21" s="58"/>
      <c r="D21" s="58"/>
      <c r="E21" s="58"/>
      <c r="F21" s="58"/>
      <c r="G21" s="58"/>
    </row>
    <row r="22" spans="2:7" ht="16.95" customHeight="1" x14ac:dyDescent="0.3">
      <c r="B22" s="35" t="s">
        <v>173</v>
      </c>
      <c r="C22" s="24" t="s">
        <v>174</v>
      </c>
      <c r="D22" s="29">
        <f>Assumptions!D29*12*Assumptions!D18/10000000</f>
        <v>0.432</v>
      </c>
      <c r="E22" s="29">
        <f>Assumptions!E29*12*Assumptions!E18/10000000</f>
        <v>2.7360000000000002</v>
      </c>
      <c r="F22" s="29">
        <f>Assumptions!F29*12*Assumptions!F18/10000000</f>
        <v>9.6</v>
      </c>
      <c r="G22" s="32">
        <f>(F22/D22)^(1/2)-1</f>
        <v>3.714045207910317</v>
      </c>
    </row>
    <row r="23" spans="2:7" ht="16.95" customHeight="1" x14ac:dyDescent="0.3"/>
    <row r="24" spans="2:7" ht="16.95" customHeight="1" x14ac:dyDescent="0.3">
      <c r="B24" s="59" t="s">
        <v>175</v>
      </c>
      <c r="C24" s="58"/>
      <c r="D24" s="58"/>
      <c r="E24" s="58"/>
      <c r="F24" s="58"/>
      <c r="G24" s="58"/>
    </row>
    <row r="25" spans="2:7" ht="16.95" customHeight="1" x14ac:dyDescent="0.3">
      <c r="B25" s="35" t="s">
        <v>176</v>
      </c>
      <c r="C25" s="24" t="s">
        <v>174</v>
      </c>
      <c r="D25" s="29">
        <f>Assumptions!D30*12*Assumptions!D19/10000000</f>
        <v>0.63</v>
      </c>
      <c r="E25" s="29">
        <f>Assumptions!E30*12*Assumptions!E19/10000000</f>
        <v>2.88</v>
      </c>
      <c r="F25" s="29">
        <f>Assumptions!F30*12*Assumptions!F19/10000000</f>
        <v>9.7200000000000006</v>
      </c>
      <c r="G25" s="32">
        <f>(F25/D25)^(1/2)-1</f>
        <v>2.927922024247863</v>
      </c>
    </row>
    <row r="26" spans="2:7" ht="16.95" customHeight="1" x14ac:dyDescent="0.3"/>
    <row r="27" spans="2:7" ht="16.95" customHeight="1" x14ac:dyDescent="0.3">
      <c r="B27" s="67" t="s">
        <v>177</v>
      </c>
      <c r="C27" s="58"/>
      <c r="D27" s="58"/>
      <c r="E27" s="58"/>
      <c r="F27" s="58"/>
      <c r="G27" s="58"/>
    </row>
    <row r="28" spans="2:7" ht="16.95" customHeight="1" x14ac:dyDescent="0.3">
      <c r="B28" s="6" t="s">
        <v>178</v>
      </c>
      <c r="C28" s="6" t="s">
        <v>179</v>
      </c>
      <c r="D28" s="6" t="s">
        <v>180</v>
      </c>
      <c r="E28" s="6" t="s">
        <v>181</v>
      </c>
      <c r="F28" s="6" t="s">
        <v>182</v>
      </c>
      <c r="G28" s="6" t="s">
        <v>183</v>
      </c>
    </row>
    <row r="29" spans="2:7" ht="16.95" customHeight="1" x14ac:dyDescent="0.3">
      <c r="B29" s="35" t="s">
        <v>184</v>
      </c>
      <c r="C29" s="25">
        <f>F29/F34</f>
        <v>0.28593123537233572</v>
      </c>
      <c r="D29" s="30">
        <f>D13</f>
        <v>1.5726719999999998</v>
      </c>
      <c r="E29" s="30">
        <f>E13</f>
        <v>5.4072480000000001</v>
      </c>
      <c r="F29" s="30">
        <f>F13</f>
        <v>12.474691200000002</v>
      </c>
      <c r="G29" s="25">
        <f t="shared" ref="G29:G34" si="0">(F29/D29)^(1/2)-1</f>
        <v>1.8164096559304568</v>
      </c>
    </row>
    <row r="30" spans="2:7" ht="16.95" customHeight="1" x14ac:dyDescent="0.3">
      <c r="B30" s="35" t="s">
        <v>185</v>
      </c>
      <c r="C30" s="25">
        <f>F30/F34</f>
        <v>0.18336725505306978</v>
      </c>
      <c r="D30" s="30">
        <f>D16</f>
        <v>0.9</v>
      </c>
      <c r="E30" s="30">
        <f>E16</f>
        <v>3.5</v>
      </c>
      <c r="F30" s="30">
        <f>F16</f>
        <v>8</v>
      </c>
      <c r="G30" s="25">
        <f t="shared" si="0"/>
        <v>1.9814239699997196</v>
      </c>
    </row>
    <row r="31" spans="2:7" ht="16.95" customHeight="1" x14ac:dyDescent="0.3">
      <c r="B31" s="35" t="s">
        <v>186</v>
      </c>
      <c r="C31" s="25">
        <f>F31/F34</f>
        <v>8.7869588621431044E-2</v>
      </c>
      <c r="D31" s="30">
        <f>D19</f>
        <v>0.19959999999999997</v>
      </c>
      <c r="E31" s="30">
        <f>E19</f>
        <v>1.0980000000000001</v>
      </c>
      <c r="F31" s="30">
        <f>F19</f>
        <v>3.8336000000000001</v>
      </c>
      <c r="G31" s="25">
        <f t="shared" si="0"/>
        <v>3.3825121592131726</v>
      </c>
    </row>
    <row r="32" spans="2:7" ht="16.95" customHeight="1" x14ac:dyDescent="0.3">
      <c r="B32" s="35" t="s">
        <v>187</v>
      </c>
      <c r="C32" s="25">
        <f>F32/F34</f>
        <v>0.22004070606368373</v>
      </c>
      <c r="D32" s="30">
        <f>D22</f>
        <v>0.432</v>
      </c>
      <c r="E32" s="30">
        <f>E22</f>
        <v>2.7360000000000002</v>
      </c>
      <c r="F32" s="30">
        <f>F22</f>
        <v>9.6</v>
      </c>
      <c r="G32" s="25">
        <f t="shared" si="0"/>
        <v>3.714045207910317</v>
      </c>
    </row>
    <row r="33" spans="2:7" ht="16.95" customHeight="1" x14ac:dyDescent="0.3">
      <c r="B33" s="35" t="s">
        <v>188</v>
      </c>
      <c r="C33" s="25">
        <f>F33/F34</f>
        <v>0.22279121488947981</v>
      </c>
      <c r="D33" s="30">
        <f>D25</f>
        <v>0.63</v>
      </c>
      <c r="E33" s="30">
        <f>E25</f>
        <v>2.88</v>
      </c>
      <c r="F33" s="30">
        <f>F25</f>
        <v>9.7200000000000006</v>
      </c>
      <c r="G33" s="25">
        <f t="shared" si="0"/>
        <v>2.927922024247863</v>
      </c>
    </row>
    <row r="34" spans="2:7" ht="16.95" customHeight="1" x14ac:dyDescent="0.3">
      <c r="B34" s="36" t="s">
        <v>189</v>
      </c>
      <c r="C34" s="26" t="s">
        <v>190</v>
      </c>
      <c r="D34" s="31">
        <f>SUM(D29:D33)</f>
        <v>3.7342719999999994</v>
      </c>
      <c r="E34" s="31">
        <f>SUM(E29:E33)</f>
        <v>15.621248000000001</v>
      </c>
      <c r="F34" s="31">
        <f>SUM(F29:F33)</f>
        <v>43.6282912</v>
      </c>
      <c r="G34" s="34">
        <f t="shared" si="0"/>
        <v>2.4180713765638138</v>
      </c>
    </row>
    <row r="35" spans="2:7" ht="16.95" customHeight="1" x14ac:dyDescent="0.3"/>
    <row r="36" spans="2:7" ht="16.95" customHeight="1" x14ac:dyDescent="0.3">
      <c r="B36" s="59" t="s">
        <v>191</v>
      </c>
      <c r="C36" s="58"/>
      <c r="D36" s="58"/>
      <c r="E36" s="58"/>
      <c r="F36" s="58"/>
      <c r="G36" s="58"/>
    </row>
    <row r="37" spans="2:7" ht="16.95" customHeight="1" x14ac:dyDescent="0.3">
      <c r="B37" s="6" t="s">
        <v>178</v>
      </c>
      <c r="C37" s="6" t="s">
        <v>180</v>
      </c>
      <c r="D37" s="6" t="s">
        <v>181</v>
      </c>
      <c r="E37" s="6" t="s">
        <v>182</v>
      </c>
      <c r="F37" s="6" t="s">
        <v>192</v>
      </c>
      <c r="G37"/>
    </row>
    <row r="38" spans="2:7" ht="16.95" customHeight="1" x14ac:dyDescent="0.3">
      <c r="B38" s="23" t="s">
        <v>193</v>
      </c>
      <c r="C38" s="28">
        <f>D13*(1-Assumptions!D38)</f>
        <v>1.0222367999999999</v>
      </c>
      <c r="D38" s="28">
        <f>E13*(1-Assumptions!E38)</f>
        <v>3.6228561599999995</v>
      </c>
      <c r="E38" s="28">
        <f>F13*(1-Assumptions!F38)</f>
        <v>8.7322838400000009</v>
      </c>
      <c r="F38" s="33">
        <f>E38/F13</f>
        <v>0.7</v>
      </c>
      <c r="G38"/>
    </row>
    <row r="39" spans="2:7" ht="16.95" customHeight="1" x14ac:dyDescent="0.3">
      <c r="B39" s="23" t="s">
        <v>194</v>
      </c>
      <c r="C39" s="28">
        <f>D16*(1-Assumptions!D38)</f>
        <v>0.58500000000000008</v>
      </c>
      <c r="D39" s="28">
        <f>E16*(1-Assumptions!E38)</f>
        <v>2.3449999999999998</v>
      </c>
      <c r="E39" s="28">
        <f>F16*(1-Assumptions!F38)</f>
        <v>5.6</v>
      </c>
      <c r="F39" s="33">
        <f>E39/F16</f>
        <v>0.7</v>
      </c>
      <c r="G39"/>
    </row>
    <row r="40" spans="2:7" ht="16.95" customHeight="1" x14ac:dyDescent="0.3">
      <c r="B40" s="23" t="s">
        <v>195</v>
      </c>
      <c r="C40" s="28">
        <f>D19*(1-Assumptions!D40)</f>
        <v>0.14969999999999997</v>
      </c>
      <c r="D40" s="28">
        <f>E19*(1-Assumptions!E40)</f>
        <v>0.85644000000000009</v>
      </c>
      <c r="E40" s="28">
        <f>F19*(1-Assumptions!F40)</f>
        <v>3.0668800000000003</v>
      </c>
      <c r="F40" s="33">
        <f>E40/F19</f>
        <v>0.8</v>
      </c>
      <c r="G40"/>
    </row>
    <row r="41" spans="2:7" ht="16.95" customHeight="1" x14ac:dyDescent="0.3">
      <c r="B41" s="23" t="s">
        <v>196</v>
      </c>
      <c r="C41" s="28">
        <f>D22*(1-Assumptions!D39)</f>
        <v>0.19439999999999999</v>
      </c>
      <c r="D41" s="28">
        <f>E22*(1-Assumptions!E39)</f>
        <v>1.31328</v>
      </c>
      <c r="E41" s="28">
        <f>F22*(1-Assumptions!F39)</f>
        <v>4.8</v>
      </c>
      <c r="F41" s="33">
        <f>E41/F22</f>
        <v>0.5</v>
      </c>
      <c r="G41"/>
    </row>
    <row r="42" spans="2:7" ht="16.95" customHeight="1" x14ac:dyDescent="0.3">
      <c r="B42" s="23" t="s">
        <v>197</v>
      </c>
      <c r="C42" s="28">
        <f>D25*(1-Assumptions!D41)</f>
        <v>0.34650000000000003</v>
      </c>
      <c r="D42" s="28">
        <f>E25*(1-Assumptions!E41)</f>
        <v>1.6416000000000002</v>
      </c>
      <c r="E42" s="28">
        <f>F25*(1-Assumptions!F41)</f>
        <v>5.6376000000000008</v>
      </c>
      <c r="F42" s="33">
        <f>E42/F25</f>
        <v>0.58000000000000007</v>
      </c>
      <c r="G42"/>
    </row>
    <row r="43" spans="2:7" ht="16.95" customHeight="1" x14ac:dyDescent="0.3">
      <c r="B43" s="36" t="s">
        <v>198</v>
      </c>
      <c r="D43" s="31">
        <f>SUM(C38:C42)</f>
        <v>2.2978367999999998</v>
      </c>
      <c r="E43" s="31">
        <f>SUM(D38:D42)</f>
        <v>9.7791761600000005</v>
      </c>
      <c r="F43" s="31">
        <f>SUM(E38:E42)</f>
        <v>27.836763840000003</v>
      </c>
    </row>
    <row r="44" spans="2:7" ht="16.95" customHeight="1" x14ac:dyDescent="0.3">
      <c r="B44" s="35" t="s">
        <v>199</v>
      </c>
      <c r="D44" s="32">
        <f>D43/D34</f>
        <v>0.61533728662507714</v>
      </c>
      <c r="E44" s="32">
        <f>E43/E34</f>
        <v>0.62601759859391515</v>
      </c>
      <c r="F44" s="32">
        <f>F43/F34</f>
        <v>0.63804387186266887</v>
      </c>
    </row>
    <row r="45" spans="2:7" ht="16.95" customHeight="1" x14ac:dyDescent="0.3"/>
    <row r="46" spans="2:7" ht="16.95" customHeight="1" x14ac:dyDescent="0.3">
      <c r="B46" s="59" t="s">
        <v>200</v>
      </c>
      <c r="C46" s="58"/>
      <c r="D46" s="58"/>
      <c r="E46" s="58"/>
      <c r="F46" s="58"/>
      <c r="G46" s="58"/>
    </row>
    <row r="47" spans="2:7" ht="16.95" customHeight="1" x14ac:dyDescent="0.3">
      <c r="B47" s="6" t="s">
        <v>201</v>
      </c>
      <c r="C47" s="6" t="s">
        <v>47</v>
      </c>
      <c r="D47" s="6" t="s">
        <v>48</v>
      </c>
      <c r="E47" s="6" t="s">
        <v>49</v>
      </c>
      <c r="F47" s="6" t="s">
        <v>202</v>
      </c>
      <c r="G47"/>
    </row>
    <row r="48" spans="2:7" ht="16.95" customHeight="1" x14ac:dyDescent="0.3">
      <c r="B48" s="23" t="s">
        <v>203</v>
      </c>
      <c r="C48" s="28">
        <f>Assumptions!D34*Assumptions!D23</f>
        <v>0.6</v>
      </c>
      <c r="D48" s="28">
        <f>Assumptions!E34*Assumptions!E23</f>
        <v>1.28</v>
      </c>
      <c r="E48" s="28">
        <f>Assumptions!F34*Assumptions!F23</f>
        <v>2.04</v>
      </c>
      <c r="F48" s="33">
        <f>E48/F34</f>
        <v>4.6758650038532794E-2</v>
      </c>
      <c r="G48"/>
    </row>
    <row r="49" spans="2:7" ht="16.95" customHeight="1" x14ac:dyDescent="0.3">
      <c r="B49" s="23" t="s">
        <v>204</v>
      </c>
      <c r="C49" s="28">
        <f>Assumptions!D36*Assumptions!D23</f>
        <v>0.9</v>
      </c>
      <c r="D49" s="28">
        <f>Assumptions!E36*Assumptions!E23</f>
        <v>2</v>
      </c>
      <c r="E49" s="28">
        <f>Assumptions!F36*Assumptions!F23</f>
        <v>3.3000000000000003</v>
      </c>
      <c r="F49" s="33">
        <f>E49/F34</f>
        <v>7.5638992709391298E-2</v>
      </c>
      <c r="G49"/>
    </row>
    <row r="50" spans="2:7" ht="16.95" customHeight="1" x14ac:dyDescent="0.3">
      <c r="B50" s="23" t="s">
        <v>205</v>
      </c>
      <c r="C50" s="28">
        <f>D34*Assumptions!D37</f>
        <v>0.67216895999999982</v>
      </c>
      <c r="D50" s="28">
        <f>E34*Assumptions!E37</f>
        <v>2.3431872</v>
      </c>
      <c r="E50" s="28">
        <f>F34*Assumptions!F37</f>
        <v>5.2353949439999994</v>
      </c>
      <c r="F50" s="33">
        <f>E50/F34</f>
        <v>0.11999999999999998</v>
      </c>
      <c r="G50"/>
    </row>
    <row r="51" spans="2:7" ht="16.95" customHeight="1" x14ac:dyDescent="0.3">
      <c r="B51" s="23" t="s">
        <v>206</v>
      </c>
      <c r="C51" s="28">
        <f>Assumptions!D42</f>
        <v>0.8</v>
      </c>
      <c r="D51" s="28">
        <f>Assumptions!E42</f>
        <v>1.2</v>
      </c>
      <c r="E51" s="28">
        <f>Assumptions!F42</f>
        <v>1.8</v>
      </c>
      <c r="F51" s="33">
        <f>E51/F34</f>
        <v>4.1257632386940704E-2</v>
      </c>
      <c r="G51"/>
    </row>
    <row r="52" spans="2:7" ht="16.95" customHeight="1" x14ac:dyDescent="0.3">
      <c r="B52" s="36" t="s">
        <v>207</v>
      </c>
      <c r="C52" s="31">
        <f>SUM(C48:C51)</f>
        <v>2.9721689599999994</v>
      </c>
      <c r="D52" s="31">
        <f>SUM(D48:D51)</f>
        <v>6.8231872000000005</v>
      </c>
      <c r="E52" s="31">
        <f>SUM(E48:E51)</f>
        <v>12.375394944</v>
      </c>
      <c r="G52"/>
    </row>
    <row r="53" spans="2:7" ht="16.95" customHeight="1" x14ac:dyDescent="0.3">
      <c r="B53" s="37" t="s">
        <v>208</v>
      </c>
      <c r="C53" s="29">
        <f>D43-C52</f>
        <v>-0.67433215999999963</v>
      </c>
      <c r="D53" s="29">
        <f>E43-D52</f>
        <v>2.95598896</v>
      </c>
      <c r="E53" s="29">
        <f>F43-E52</f>
        <v>15.461368896000003</v>
      </c>
      <c r="G53"/>
    </row>
    <row r="54" spans="2:7" ht="16.95" customHeight="1" x14ac:dyDescent="0.3">
      <c r="B54" s="38" t="s">
        <v>209</v>
      </c>
      <c r="C54" s="25">
        <f>C53/D34</f>
        <v>-0.18057928292315067</v>
      </c>
      <c r="D54" s="25">
        <f>D53/E34</f>
        <v>0.18922873255709144</v>
      </c>
      <c r="E54" s="25">
        <f>E53/F34</f>
        <v>0.35438859672780409</v>
      </c>
      <c r="G54"/>
    </row>
    <row r="55" spans="2:7" ht="16.95" customHeight="1" x14ac:dyDescent="0.3"/>
    <row r="56" spans="2:7" ht="16.95" customHeight="1" x14ac:dyDescent="0.3"/>
    <row r="57" spans="2:7" ht="16.95" customHeight="1" x14ac:dyDescent="0.3"/>
    <row r="58" spans="2:7" ht="16.95" customHeight="1" x14ac:dyDescent="0.3"/>
    <row r="59" spans="2:7" ht="16.95" customHeight="1" x14ac:dyDescent="0.3"/>
    <row r="60" spans="2:7" ht="16.95" customHeight="1" x14ac:dyDescent="0.3"/>
    <row r="61" spans="2:7" ht="16.95" customHeight="1" x14ac:dyDescent="0.3"/>
    <row r="62" spans="2:7" ht="16.95" customHeight="1" x14ac:dyDescent="0.3"/>
    <row r="63" spans="2:7" ht="16.95" customHeight="1" x14ac:dyDescent="0.3"/>
    <row r="64" spans="2:7" ht="16.95" customHeight="1" x14ac:dyDescent="0.3"/>
    <row r="65" ht="16.95" customHeight="1" x14ac:dyDescent="0.3"/>
    <row r="66" ht="16.95" customHeight="1" x14ac:dyDescent="0.3"/>
    <row r="67" ht="16.95" customHeight="1" x14ac:dyDescent="0.3"/>
    <row r="68" ht="16.95" customHeight="1" x14ac:dyDescent="0.3"/>
    <row r="69" ht="16.95" customHeight="1" x14ac:dyDescent="0.3"/>
    <row r="70" ht="16.95" customHeight="1" x14ac:dyDescent="0.3"/>
    <row r="71" ht="16.95" customHeight="1" x14ac:dyDescent="0.3"/>
    <row r="72" ht="16.95" customHeight="1" x14ac:dyDescent="0.3"/>
    <row r="73" ht="16.95" customHeight="1" x14ac:dyDescent="0.3"/>
    <row r="74" ht="16.95" customHeight="1" x14ac:dyDescent="0.3"/>
    <row r="75" ht="16.95" customHeight="1" x14ac:dyDescent="0.3"/>
    <row r="76" ht="16.95" customHeight="1" x14ac:dyDescent="0.3"/>
    <row r="77" ht="16.95" customHeight="1" x14ac:dyDescent="0.3"/>
    <row r="78" ht="16.95" customHeight="1" x14ac:dyDescent="0.3"/>
    <row r="79" ht="16.95" customHeight="1" x14ac:dyDescent="0.3"/>
    <row r="80" ht="16.95" customHeight="1" x14ac:dyDescent="0.3"/>
    <row r="81" ht="16.95" customHeight="1" x14ac:dyDescent="0.3"/>
    <row r="82" ht="16.95" customHeight="1" x14ac:dyDescent="0.3"/>
    <row r="83" ht="16.95" customHeight="1" x14ac:dyDescent="0.3"/>
    <row r="84" ht="16.95" customHeight="1" x14ac:dyDescent="0.3"/>
    <row r="85" ht="16.95" customHeight="1" x14ac:dyDescent="0.3"/>
    <row r="86" ht="16.95" customHeight="1" x14ac:dyDescent="0.3"/>
    <row r="87" ht="16.95" customHeight="1" x14ac:dyDescent="0.3"/>
    <row r="88" ht="16.95" customHeight="1" x14ac:dyDescent="0.3"/>
    <row r="89" ht="16.95" customHeight="1" x14ac:dyDescent="0.3"/>
  </sheetData>
  <mergeCells count="11">
    <mergeCell ref="B24:G24"/>
    <mergeCell ref="B2:G2"/>
    <mergeCell ref="B4"/>
    <mergeCell ref="B46:G46"/>
    <mergeCell ref="B36:G36"/>
    <mergeCell ref="B27:G27"/>
    <mergeCell ref="B1:G1"/>
    <mergeCell ref="B18:G18"/>
    <mergeCell ref="B21:G21"/>
    <mergeCell ref="B15:G15"/>
    <mergeCell ref="B6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D3D5C"/>
  </sheetPr>
  <dimension ref="B1:F69"/>
  <sheetViews>
    <sheetView showGridLines="0" topLeftCell="A16" workbookViewId="0">
      <selection activeCell="J14" sqref="J14"/>
    </sheetView>
  </sheetViews>
  <sheetFormatPr defaultRowHeight="14.4" x14ac:dyDescent="0.3"/>
  <cols>
    <col min="1" max="1" width="2" customWidth="1"/>
    <col min="2" max="2" width="38" style="14" customWidth="1"/>
    <col min="3" max="3" width="38.5546875" style="14" customWidth="1"/>
    <col min="4" max="6" width="16" style="14" customWidth="1"/>
  </cols>
  <sheetData>
    <row r="1" spans="2:6" ht="16.95" customHeight="1" x14ac:dyDescent="0.3">
      <c r="B1" s="60" t="s">
        <v>210</v>
      </c>
      <c r="C1" s="58"/>
      <c r="D1" s="58"/>
      <c r="E1" s="58"/>
      <c r="F1" s="58"/>
    </row>
    <row r="2" spans="2:6" ht="16.95" customHeight="1" x14ac:dyDescent="0.3">
      <c r="B2" s="57" t="s">
        <v>211</v>
      </c>
      <c r="C2" s="58"/>
      <c r="D2" s="58"/>
      <c r="E2" s="58"/>
      <c r="F2" s="58"/>
    </row>
    <row r="3" spans="2:6" ht="16.95" customHeight="1" x14ac:dyDescent="0.3"/>
    <row r="4" spans="2:6" ht="16.95" customHeight="1" x14ac:dyDescent="0.3">
      <c r="B4" s="59" t="s">
        <v>212</v>
      </c>
      <c r="C4" s="58"/>
      <c r="D4" s="58"/>
      <c r="E4" s="58"/>
      <c r="F4" s="58"/>
    </row>
    <row r="5" spans="2:6" ht="16.95" customHeight="1" x14ac:dyDescent="0.3">
      <c r="B5" s="6" t="s">
        <v>55</v>
      </c>
      <c r="C5" s="6" t="s">
        <v>213</v>
      </c>
      <c r="D5" s="6" t="s">
        <v>47</v>
      </c>
      <c r="E5" s="6" t="s">
        <v>48</v>
      </c>
      <c r="F5" s="6" t="s">
        <v>49</v>
      </c>
    </row>
    <row r="6" spans="2:6" ht="16.95" customHeight="1" x14ac:dyDescent="0.3">
      <c r="B6" s="23" t="s">
        <v>136</v>
      </c>
      <c r="C6" s="21" t="s">
        <v>214</v>
      </c>
      <c r="D6" s="45">
        <f>Assumptions!D46</f>
        <v>1200</v>
      </c>
      <c r="E6" s="45">
        <f>Assumptions!E46</f>
        <v>1000</v>
      </c>
      <c r="F6" s="45">
        <f>Assumptions!F46</f>
        <v>900</v>
      </c>
    </row>
    <row r="7" spans="2:6" ht="16.95" customHeight="1" x14ac:dyDescent="0.3">
      <c r="B7" s="23" t="s">
        <v>215</v>
      </c>
      <c r="C7" s="21" t="s">
        <v>216</v>
      </c>
      <c r="D7" s="45">
        <f>(Assumptions!D13*0.4+Assumptions!D14*0.6)</f>
        <v>3100</v>
      </c>
      <c r="E7" s="45">
        <f>(Assumptions!E13*0.4+Assumptions!E14*0.6)</f>
        <v>3300</v>
      </c>
      <c r="F7" s="45">
        <f>(Assumptions!F13*0.4+Assumptions!F14*0.6)</f>
        <v>3440</v>
      </c>
    </row>
    <row r="8" spans="2:6" ht="16.95" customHeight="1" x14ac:dyDescent="0.3">
      <c r="B8" s="23" t="s">
        <v>217</v>
      </c>
      <c r="C8" s="21" t="s">
        <v>218</v>
      </c>
      <c r="D8" s="45">
        <f>D7*Assumptions!D49*2</f>
        <v>2170</v>
      </c>
      <c r="E8" s="45">
        <f>E7*Assumptions!E49*2</f>
        <v>2772</v>
      </c>
      <c r="F8" s="45">
        <f>F7*Assumptions!F49*2</f>
        <v>3440</v>
      </c>
    </row>
    <row r="9" spans="2:6" ht="16.95" customHeight="1" x14ac:dyDescent="0.3">
      <c r="B9" s="23" t="s">
        <v>219</v>
      </c>
      <c r="C9" s="21" t="s">
        <v>220</v>
      </c>
      <c r="D9" s="45">
        <f>Assumptions!D17*12</f>
        <v>5988</v>
      </c>
      <c r="E9" s="45">
        <f>Assumptions!E17*12</f>
        <v>6588</v>
      </c>
      <c r="F9" s="45">
        <f>Assumptions!F17*12</f>
        <v>7188</v>
      </c>
    </row>
    <row r="10" spans="2:6" ht="16.95" customHeight="1" x14ac:dyDescent="0.3">
      <c r="B10" s="35" t="s">
        <v>221</v>
      </c>
      <c r="C10" s="24" t="s">
        <v>222</v>
      </c>
      <c r="D10" s="46">
        <f>D7+(D8*Assumptions!D48/12)+D9</f>
        <v>13428</v>
      </c>
      <c r="E10" s="46">
        <f>E7+(E8*Assumptions!E48/12)+E9</f>
        <v>16356</v>
      </c>
      <c r="F10" s="46">
        <f>F7+(F8*Assumptions!F48/12)+F9</f>
        <v>19801.333333333336</v>
      </c>
    </row>
    <row r="11" spans="2:6" ht="16.95" customHeight="1" x14ac:dyDescent="0.3">
      <c r="B11" s="35" t="s">
        <v>223</v>
      </c>
      <c r="C11" s="24" t="s">
        <v>224</v>
      </c>
      <c r="D11" s="47">
        <f>D10/D6</f>
        <v>11.19</v>
      </c>
      <c r="E11" s="47">
        <f>E10/E6</f>
        <v>16.356000000000002</v>
      </c>
      <c r="F11" s="47">
        <f>F10/F6</f>
        <v>22.001481481481484</v>
      </c>
    </row>
    <row r="12" spans="2:6" ht="16.95" customHeight="1" x14ac:dyDescent="0.3">
      <c r="B12" s="23" t="s">
        <v>225</v>
      </c>
      <c r="C12" s="21" t="s">
        <v>226</v>
      </c>
      <c r="D12" s="48">
        <f>D6/((D7*(1-Assumptions!D38))/12)</f>
        <v>7.1464019851116634</v>
      </c>
      <c r="E12" s="48">
        <f>E6/((E7*(1-Assumptions!E38))/12)</f>
        <v>5.4274084124830404</v>
      </c>
      <c r="F12" s="48">
        <f>F6/((F7*(1-Assumptions!F38))/12)</f>
        <v>4.485049833887043</v>
      </c>
    </row>
    <row r="13" spans="2:6" ht="16.95" customHeight="1" x14ac:dyDescent="0.3"/>
    <row r="14" spans="2:6" ht="16.95" customHeight="1" x14ac:dyDescent="0.3">
      <c r="B14" s="59" t="s">
        <v>227</v>
      </c>
      <c r="C14" s="58"/>
      <c r="D14" s="58"/>
      <c r="E14" s="58"/>
      <c r="F14" s="58"/>
    </row>
    <row r="15" spans="2:6" ht="16.95" customHeight="1" x14ac:dyDescent="0.3">
      <c r="B15" s="6" t="s">
        <v>55</v>
      </c>
      <c r="C15" s="6" t="s">
        <v>213</v>
      </c>
      <c r="D15" s="6" t="s">
        <v>47</v>
      </c>
      <c r="E15" s="6" t="s">
        <v>48</v>
      </c>
      <c r="F15" s="6" t="s">
        <v>49</v>
      </c>
    </row>
    <row r="16" spans="2:6" ht="16.95" customHeight="1" x14ac:dyDescent="0.3">
      <c r="B16" s="23" t="s">
        <v>139</v>
      </c>
      <c r="C16" s="21" t="s">
        <v>214</v>
      </c>
      <c r="D16" s="45">
        <f>Assumptions!D47</f>
        <v>6000</v>
      </c>
      <c r="E16" s="45">
        <f>Assumptions!E47</f>
        <v>5000</v>
      </c>
      <c r="F16" s="45">
        <f>Assumptions!F47</f>
        <v>4000</v>
      </c>
    </row>
    <row r="17" spans="2:6" ht="16.95" customHeight="1" x14ac:dyDescent="0.3">
      <c r="B17" s="23" t="s">
        <v>228</v>
      </c>
      <c r="C17" s="21" t="s">
        <v>229</v>
      </c>
      <c r="D17" s="45">
        <f>Assumptions!D16*2</f>
        <v>300000</v>
      </c>
      <c r="E17" s="45">
        <f>Assumptions!E16*2.5</f>
        <v>437500</v>
      </c>
      <c r="F17" s="45">
        <f>Assumptions!F16*3</f>
        <v>600000</v>
      </c>
    </row>
    <row r="18" spans="2:6" ht="16.95" customHeight="1" x14ac:dyDescent="0.3">
      <c r="B18" s="23" t="s">
        <v>230</v>
      </c>
      <c r="C18" s="21" t="s">
        <v>231</v>
      </c>
      <c r="D18" s="45">
        <f>D17*(1-Assumptions!D38)</f>
        <v>195000</v>
      </c>
      <c r="E18" s="45">
        <f>E17*(1-Assumptions!E38)</f>
        <v>293124.99999999994</v>
      </c>
      <c r="F18" s="45">
        <f>F17*(1-Assumptions!F38)</f>
        <v>420000</v>
      </c>
    </row>
    <row r="19" spans="2:6" ht="16.95" customHeight="1" x14ac:dyDescent="0.3">
      <c r="B19" s="35" t="s">
        <v>232</v>
      </c>
      <c r="C19" s="24" t="s">
        <v>233</v>
      </c>
      <c r="D19" s="29">
        <f>D18*3</f>
        <v>585000</v>
      </c>
      <c r="E19" s="29">
        <f>E18*3</f>
        <v>879374.99999999977</v>
      </c>
      <c r="F19" s="29">
        <f>F18*3</f>
        <v>1260000</v>
      </c>
    </row>
    <row r="20" spans="2:6" ht="16.95" customHeight="1" x14ac:dyDescent="0.3">
      <c r="B20" s="35" t="s">
        <v>234</v>
      </c>
      <c r="C20" s="24" t="s">
        <v>224</v>
      </c>
      <c r="D20" s="47">
        <f>D19/D16</f>
        <v>97.5</v>
      </c>
      <c r="E20" s="47">
        <f>E19/E16</f>
        <v>175.87499999999994</v>
      </c>
      <c r="F20" s="47">
        <f>F19/F16</f>
        <v>315</v>
      </c>
    </row>
    <row r="21" spans="2:6" ht="16.95" customHeight="1" x14ac:dyDescent="0.3"/>
    <row r="22" spans="2:6" ht="16.95" customHeight="1" x14ac:dyDescent="0.3">
      <c r="B22" s="59" t="s">
        <v>235</v>
      </c>
      <c r="C22" s="58"/>
      <c r="D22" s="58"/>
      <c r="E22" s="58"/>
      <c r="F22" s="58"/>
    </row>
    <row r="23" spans="2:6" ht="16.95" customHeight="1" x14ac:dyDescent="0.3">
      <c r="B23" s="6" t="s">
        <v>55</v>
      </c>
      <c r="C23" s="6" t="s">
        <v>213</v>
      </c>
      <c r="D23" s="6" t="s">
        <v>47</v>
      </c>
      <c r="E23" s="6" t="s">
        <v>48</v>
      </c>
      <c r="F23" s="6" t="s">
        <v>49</v>
      </c>
    </row>
    <row r="24" spans="2:6" ht="16.95" customHeight="1" x14ac:dyDescent="0.3">
      <c r="B24" s="23" t="s">
        <v>236</v>
      </c>
      <c r="C24" s="21" t="s">
        <v>237</v>
      </c>
      <c r="D24" s="45">
        <f>Assumptions!D13*(1-Assumptions!D38-Assumptions!D35)</f>
        <v>400</v>
      </c>
      <c r="E24" s="45">
        <f>Assumptions!E13*(1-Assumptions!E38-Assumptions!E35)</f>
        <v>440.99999999999994</v>
      </c>
      <c r="F24" s="45">
        <f>Assumptions!F13*(1-Assumptions!F38-Assumptions!F35)</f>
        <v>494.99999999999994</v>
      </c>
    </row>
    <row r="25" spans="2:6" ht="16.95" customHeight="1" x14ac:dyDescent="0.3">
      <c r="B25" s="23" t="s">
        <v>238</v>
      </c>
      <c r="C25" s="21" t="s">
        <v>239</v>
      </c>
      <c r="D25" s="45">
        <f>Assumptions!D18*(1-Assumptions!D39)</f>
        <v>809.99999999999989</v>
      </c>
      <c r="E25" s="45">
        <f>Assumptions!E18*(1-Assumptions!E39)</f>
        <v>912</v>
      </c>
      <c r="F25" s="45">
        <f>Assumptions!F18*(1-Assumptions!F39)</f>
        <v>1000</v>
      </c>
    </row>
    <row r="26" spans="2:6" ht="16.95" customHeight="1" x14ac:dyDescent="0.3">
      <c r="B26" s="23" t="s">
        <v>240</v>
      </c>
      <c r="C26" s="21" t="s">
        <v>241</v>
      </c>
      <c r="D26" s="45">
        <f>Assumptions!D17*12*(1-Assumptions!D40)</f>
        <v>4491</v>
      </c>
      <c r="E26" s="45">
        <f>Assumptions!E17*12*(1-Assumptions!E40)</f>
        <v>5138.6400000000003</v>
      </c>
      <c r="F26" s="45">
        <f>Assumptions!F17*12*(1-Assumptions!F40)</f>
        <v>5750.4000000000005</v>
      </c>
    </row>
    <row r="27" spans="2:6" ht="16.95" customHeight="1" x14ac:dyDescent="0.3">
      <c r="B27" s="23" t="s">
        <v>242</v>
      </c>
      <c r="C27" s="21" t="s">
        <v>243</v>
      </c>
      <c r="D27" s="49">
        <f>(Assumptions!D34*Assumptions!D23+Assumptions!D36*Assumptions!D23+Assumptions!D42)*10000000/(Assumptions!D13*(1-Assumptions!D38-Assumptions!D35))</f>
        <v>57500</v>
      </c>
      <c r="E27" s="49">
        <f>(Assumptions!E34*Assumptions!E23+Assumptions!E36*Assumptions!E23+Assumptions!E42)*10000000/(Assumptions!E13*(1-Assumptions!E38-Assumptions!E35))</f>
        <v>101587.30158730161</v>
      </c>
      <c r="F27" s="49">
        <f>(Assumptions!F34*Assumptions!F23+Assumptions!F36*Assumptions!F23+Assumptions!F42)*10000000/(Assumptions!F13*(1-Assumptions!F38-Assumptions!F35))</f>
        <v>144242.42424242425</v>
      </c>
    </row>
    <row r="28" spans="2:6" ht="16.95" customHeight="1" x14ac:dyDescent="0.3"/>
    <row r="29" spans="2:6" ht="16.95" customHeight="1" x14ac:dyDescent="0.3"/>
    <row r="30" spans="2:6" ht="16.95" customHeight="1" x14ac:dyDescent="0.3"/>
    <row r="31" spans="2:6" ht="16.95" customHeight="1" x14ac:dyDescent="0.3"/>
    <row r="32" spans="2:6" ht="16.95" customHeight="1" x14ac:dyDescent="0.3"/>
    <row r="33" ht="16.95" customHeight="1" x14ac:dyDescent="0.3"/>
    <row r="34" ht="16.95" customHeight="1" x14ac:dyDescent="0.3"/>
    <row r="35" ht="16.95" customHeight="1" x14ac:dyDescent="0.3"/>
    <row r="36" ht="16.95" customHeight="1" x14ac:dyDescent="0.3"/>
    <row r="37" ht="16.95" customHeight="1" x14ac:dyDescent="0.3"/>
    <row r="38" ht="16.95" customHeight="1" x14ac:dyDescent="0.3"/>
    <row r="39" ht="16.95" customHeight="1" x14ac:dyDescent="0.3"/>
    <row r="40" ht="16.95" customHeight="1" x14ac:dyDescent="0.3"/>
    <row r="41" ht="16.95" customHeight="1" x14ac:dyDescent="0.3"/>
    <row r="42" ht="16.95" customHeight="1" x14ac:dyDescent="0.3"/>
    <row r="43" ht="16.95" customHeight="1" x14ac:dyDescent="0.3"/>
    <row r="44" ht="16.95" customHeight="1" x14ac:dyDescent="0.3"/>
    <row r="45" ht="16.95" customHeight="1" x14ac:dyDescent="0.3"/>
    <row r="46" ht="16.95" customHeight="1" x14ac:dyDescent="0.3"/>
    <row r="47" ht="16.95" customHeight="1" x14ac:dyDescent="0.3"/>
    <row r="48" ht="16.95" customHeight="1" x14ac:dyDescent="0.3"/>
    <row r="49" ht="16.95" customHeight="1" x14ac:dyDescent="0.3"/>
    <row r="50" ht="16.95" customHeight="1" x14ac:dyDescent="0.3"/>
    <row r="51" ht="16.95" customHeight="1" x14ac:dyDescent="0.3"/>
    <row r="52" ht="16.95" customHeight="1" x14ac:dyDescent="0.3"/>
    <row r="53" ht="16.95" customHeight="1" x14ac:dyDescent="0.3"/>
    <row r="54" ht="16.95" customHeight="1" x14ac:dyDescent="0.3"/>
    <row r="55" ht="16.95" customHeight="1" x14ac:dyDescent="0.3"/>
    <row r="56" ht="16.95" customHeight="1" x14ac:dyDescent="0.3"/>
    <row r="57" ht="16.95" customHeight="1" x14ac:dyDescent="0.3"/>
    <row r="58" ht="16.95" customHeight="1" x14ac:dyDescent="0.3"/>
    <row r="59" ht="16.95" customHeight="1" x14ac:dyDescent="0.3"/>
    <row r="60" ht="16.95" customHeight="1" x14ac:dyDescent="0.3"/>
    <row r="61" ht="16.95" customHeight="1" x14ac:dyDescent="0.3"/>
    <row r="62" ht="16.95" customHeight="1" x14ac:dyDescent="0.3"/>
    <row r="63" ht="16.95" customHeight="1" x14ac:dyDescent="0.3"/>
    <row r="64" ht="16.95" customHeight="1" x14ac:dyDescent="0.3"/>
    <row r="65" ht="16.95" customHeight="1" x14ac:dyDescent="0.3"/>
    <row r="66" ht="16.95" customHeight="1" x14ac:dyDescent="0.3"/>
    <row r="67" ht="16.95" customHeight="1" x14ac:dyDescent="0.3"/>
    <row r="68" ht="16.95" customHeight="1" x14ac:dyDescent="0.3"/>
    <row r="69" ht="16.95" customHeight="1" x14ac:dyDescent="0.3"/>
  </sheetData>
  <mergeCells count="5">
    <mergeCell ref="B4:F4"/>
    <mergeCell ref="B2:F2"/>
    <mergeCell ref="B14:F14"/>
    <mergeCell ref="B22:F22"/>
    <mergeCell ref="B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B59B6"/>
  </sheetPr>
  <dimension ref="B1:K79"/>
  <sheetViews>
    <sheetView showGridLines="0" workbookViewId="0">
      <selection activeCell="B28" sqref="B28:G28"/>
    </sheetView>
  </sheetViews>
  <sheetFormatPr defaultRowHeight="14.4" x14ac:dyDescent="0.3"/>
  <cols>
    <col min="1" max="1" width="2" customWidth="1"/>
    <col min="2" max="2" width="26" customWidth="1"/>
    <col min="3" max="3" width="32.77734375" style="14" customWidth="1"/>
    <col min="4" max="9" width="13" style="14" customWidth="1"/>
    <col min="10" max="11" width="13" customWidth="1"/>
  </cols>
  <sheetData>
    <row r="1" spans="2:11" ht="16.95" customHeight="1" x14ac:dyDescent="0.3">
      <c r="B1" s="60" t="s">
        <v>244</v>
      </c>
      <c r="C1" s="58"/>
      <c r="D1" s="58"/>
      <c r="E1" s="58"/>
      <c r="F1" s="58"/>
      <c r="G1" s="58"/>
      <c r="H1" s="58"/>
      <c r="I1" s="58"/>
      <c r="J1" s="58"/>
      <c r="K1" s="58"/>
    </row>
    <row r="2" spans="2:11" ht="16.95" customHeight="1" x14ac:dyDescent="0.3">
      <c r="B2" s="57" t="s">
        <v>245</v>
      </c>
      <c r="C2" s="58"/>
      <c r="D2" s="58"/>
      <c r="E2" s="58"/>
      <c r="F2" s="58"/>
      <c r="G2" s="58"/>
      <c r="H2" s="58"/>
      <c r="I2" s="58"/>
      <c r="J2" s="58"/>
      <c r="K2" s="58"/>
    </row>
    <row r="3" spans="2:11" ht="16.95" customHeight="1" x14ac:dyDescent="0.3"/>
    <row r="4" spans="2:11" ht="16.95" customHeight="1" x14ac:dyDescent="0.3">
      <c r="B4" s="59" t="s">
        <v>246</v>
      </c>
      <c r="C4" s="58"/>
      <c r="D4" s="58"/>
      <c r="E4" s="58"/>
      <c r="F4" s="58"/>
      <c r="G4" s="58"/>
      <c r="H4" s="58"/>
      <c r="I4" s="58"/>
      <c r="J4" s="58"/>
      <c r="K4" s="58"/>
    </row>
    <row r="5" spans="2:11" ht="16.95" customHeight="1" x14ac:dyDescent="0.3">
      <c r="B5" s="8" t="s">
        <v>247</v>
      </c>
      <c r="C5" s="9">
        <v>100000</v>
      </c>
      <c r="D5" s="9">
        <v>125000</v>
      </c>
      <c r="E5" s="9">
        <v>150000</v>
      </c>
      <c r="F5" s="9">
        <v>175000</v>
      </c>
      <c r="G5" s="9">
        <v>200000</v>
      </c>
      <c r="H5" s="9">
        <v>225000</v>
      </c>
      <c r="I5" s="9">
        <v>250000</v>
      </c>
    </row>
    <row r="6" spans="2:11" ht="16.95" customHeight="1" x14ac:dyDescent="0.3">
      <c r="B6" s="10">
        <v>150</v>
      </c>
      <c r="C6" s="28">
        <f>(150*100000/10000000)+Revenue_Model!F34-Revenue_Model!F16</f>
        <v>37.1282912</v>
      </c>
      <c r="D6" s="28">
        <f>(150*125000/10000000)+Revenue_Model!F34-Revenue_Model!F16</f>
        <v>37.5032912</v>
      </c>
      <c r="E6" s="28">
        <f>(150*150000/10000000)+Revenue_Model!F34-Revenue_Model!F16</f>
        <v>37.8782912</v>
      </c>
      <c r="F6" s="28">
        <f>(150*175000/10000000)+Revenue_Model!F34-Revenue_Model!F16</f>
        <v>38.2532912</v>
      </c>
      <c r="G6" s="28">
        <f>(150*200000/10000000)+Revenue_Model!F34-Revenue_Model!F16</f>
        <v>38.6282912</v>
      </c>
      <c r="H6" s="28">
        <f>(150*225000/10000000)+Revenue_Model!F34-Revenue_Model!F16</f>
        <v>39.0032912</v>
      </c>
      <c r="I6" s="28">
        <f>(150*250000/10000000)+Revenue_Model!F34-Revenue_Model!F16</f>
        <v>39.3782912</v>
      </c>
    </row>
    <row r="7" spans="2:11" ht="16.95" customHeight="1" x14ac:dyDescent="0.3">
      <c r="B7" s="10">
        <v>200</v>
      </c>
      <c r="C7" s="28">
        <f>(200*100000/10000000)+Revenue_Model!F34-Revenue_Model!F16</f>
        <v>37.6282912</v>
      </c>
      <c r="D7" s="28">
        <f>(200*125000/10000000)+Revenue_Model!F34-Revenue_Model!F16</f>
        <v>38.1282912</v>
      </c>
      <c r="E7" s="28">
        <f>(200*150000/10000000)+Revenue_Model!F34-Revenue_Model!F16</f>
        <v>38.6282912</v>
      </c>
      <c r="F7" s="28">
        <f>(200*175000/10000000)+Revenue_Model!F34-Revenue_Model!F16</f>
        <v>39.1282912</v>
      </c>
      <c r="G7" s="28">
        <f>(200*200000/10000000)+Revenue_Model!F34-Revenue_Model!F16</f>
        <v>39.6282912</v>
      </c>
      <c r="H7" s="28">
        <f>(200*225000/10000000)+Revenue_Model!F34-Revenue_Model!F16</f>
        <v>40.1282912</v>
      </c>
      <c r="I7" s="28">
        <f>(200*250000/10000000)+Revenue_Model!F34-Revenue_Model!F16</f>
        <v>40.6282912</v>
      </c>
    </row>
    <row r="8" spans="2:11" ht="16.95" customHeight="1" x14ac:dyDescent="0.3">
      <c r="B8" s="10">
        <v>250</v>
      </c>
      <c r="C8" s="28">
        <f>(250*100000/10000000)+Revenue_Model!F34-Revenue_Model!F16</f>
        <v>38.1282912</v>
      </c>
      <c r="D8" s="28">
        <f>(250*125000/10000000)+Revenue_Model!F34-Revenue_Model!F16</f>
        <v>38.7532912</v>
      </c>
      <c r="E8" s="28">
        <f>(250*150000/10000000)+Revenue_Model!F34-Revenue_Model!F16</f>
        <v>39.3782912</v>
      </c>
      <c r="F8" s="28">
        <f>(250*175000/10000000)+Revenue_Model!F34-Revenue_Model!F16</f>
        <v>40.0032912</v>
      </c>
      <c r="G8" s="28">
        <f>(250*200000/10000000)+Revenue_Model!F34-Revenue_Model!F16</f>
        <v>40.6282912</v>
      </c>
      <c r="H8" s="28">
        <f>(250*225000/10000000)+Revenue_Model!F34-Revenue_Model!F16</f>
        <v>41.2532912</v>
      </c>
      <c r="I8" s="28">
        <f>(250*250000/10000000)+Revenue_Model!F34-Revenue_Model!F16</f>
        <v>41.8782912</v>
      </c>
    </row>
    <row r="9" spans="2:11" ht="16.95" customHeight="1" x14ac:dyDescent="0.3">
      <c r="B9" s="10">
        <v>300</v>
      </c>
      <c r="C9" s="28">
        <f>(300*100000/10000000)+Revenue_Model!F34-Revenue_Model!F16</f>
        <v>38.6282912</v>
      </c>
      <c r="D9" s="28">
        <f>(300*125000/10000000)+Revenue_Model!F34-Revenue_Model!F16</f>
        <v>39.3782912</v>
      </c>
      <c r="E9" s="28">
        <f>(300*150000/10000000)+Revenue_Model!F34-Revenue_Model!F16</f>
        <v>40.1282912</v>
      </c>
      <c r="F9" s="28">
        <f>(300*175000/10000000)+Revenue_Model!F34-Revenue_Model!F16</f>
        <v>40.8782912</v>
      </c>
      <c r="G9" s="28">
        <f>(300*200000/10000000)+Revenue_Model!F34-Revenue_Model!F16</f>
        <v>41.6282912</v>
      </c>
      <c r="H9" s="28">
        <f>(300*225000/10000000)+Revenue_Model!F34-Revenue_Model!F16</f>
        <v>42.3782912</v>
      </c>
      <c r="I9" s="28">
        <f>(300*250000/10000000)+Revenue_Model!F34-Revenue_Model!F16</f>
        <v>43.1282912</v>
      </c>
    </row>
    <row r="10" spans="2:11" ht="16.95" customHeight="1" x14ac:dyDescent="0.3">
      <c r="B10" s="10">
        <v>350</v>
      </c>
      <c r="C10" s="28">
        <f>(350*100000/10000000)+Revenue_Model!F34-Revenue_Model!F16</f>
        <v>39.1282912</v>
      </c>
      <c r="D10" s="28">
        <f>(350*125000/10000000)+Revenue_Model!F34-Revenue_Model!F16</f>
        <v>40.0032912</v>
      </c>
      <c r="E10" s="28">
        <f>(350*150000/10000000)+Revenue_Model!F34-Revenue_Model!F16</f>
        <v>40.8782912</v>
      </c>
      <c r="F10" s="28">
        <f>(350*175000/10000000)+Revenue_Model!F34-Revenue_Model!F16</f>
        <v>41.7532912</v>
      </c>
      <c r="G10" s="28">
        <f>(350*200000/10000000)+Revenue_Model!F34-Revenue_Model!F16</f>
        <v>42.6282912</v>
      </c>
      <c r="H10" s="28">
        <f>(350*225000/10000000)+Revenue_Model!F34-Revenue_Model!F16</f>
        <v>43.5032912</v>
      </c>
      <c r="I10" s="28">
        <f>(350*250000/10000000)+Revenue_Model!F34-Revenue_Model!F16</f>
        <v>44.3782912</v>
      </c>
    </row>
    <row r="11" spans="2:11" ht="16.95" customHeight="1" x14ac:dyDescent="0.3">
      <c r="B11" s="10">
        <v>400</v>
      </c>
      <c r="C11" s="28">
        <f>(400*100000/10000000)+Revenue_Model!F34-Revenue_Model!F16</f>
        <v>39.6282912</v>
      </c>
      <c r="D11" s="28">
        <f>(400*125000/10000000)+Revenue_Model!F34-Revenue_Model!F16</f>
        <v>40.6282912</v>
      </c>
      <c r="E11" s="28">
        <f>(400*150000/10000000)+Revenue_Model!F34-Revenue_Model!F16</f>
        <v>41.6282912</v>
      </c>
      <c r="F11" s="28">
        <f>(400*175000/10000000)+Revenue_Model!F34-Revenue_Model!F16</f>
        <v>42.6282912</v>
      </c>
      <c r="G11" s="52">
        <f>(400*200000/10000000)+Revenue_Model!F34-Revenue_Model!F16</f>
        <v>43.6282912</v>
      </c>
      <c r="H11" s="28">
        <f>(400*225000/10000000)+Revenue_Model!F34-Revenue_Model!F16</f>
        <v>44.6282912</v>
      </c>
      <c r="I11" s="28">
        <f>(400*250000/10000000)+Revenue_Model!F34-Revenue_Model!F16</f>
        <v>45.6282912</v>
      </c>
    </row>
    <row r="12" spans="2:11" ht="16.95" customHeight="1" x14ac:dyDescent="0.3">
      <c r="B12" s="10">
        <v>500</v>
      </c>
      <c r="C12" s="28">
        <f>(500*100000/10000000)+Revenue_Model!F34-Revenue_Model!F16</f>
        <v>40.6282912</v>
      </c>
      <c r="D12" s="28">
        <f>(500*125000/10000000)+Revenue_Model!F34-Revenue_Model!F16</f>
        <v>41.8782912</v>
      </c>
      <c r="E12" s="28">
        <f>(500*150000/10000000)+Revenue_Model!F34-Revenue_Model!F16</f>
        <v>43.1282912</v>
      </c>
      <c r="F12" s="28">
        <f>(500*175000/10000000)+Revenue_Model!F34-Revenue_Model!F16</f>
        <v>44.3782912</v>
      </c>
      <c r="G12" s="28">
        <f>(500*200000/10000000)+Revenue_Model!F34-Revenue_Model!F16</f>
        <v>45.6282912</v>
      </c>
      <c r="H12" s="28">
        <f>(500*225000/10000000)+Revenue_Model!F34-Revenue_Model!F16</f>
        <v>46.8782912</v>
      </c>
      <c r="I12" s="28">
        <f>(500*250000/10000000)+Revenue_Model!F34-Revenue_Model!F16</f>
        <v>48.1282912</v>
      </c>
    </row>
    <row r="13" spans="2:11" ht="16.95" customHeight="1" x14ac:dyDescent="0.3">
      <c r="B13" s="10">
        <v>600</v>
      </c>
      <c r="C13" s="28">
        <f>(600*100000/10000000)+Revenue_Model!F34-Revenue_Model!F16</f>
        <v>41.6282912</v>
      </c>
      <c r="D13" s="28">
        <f>(600*125000/10000000)+Revenue_Model!F34-Revenue_Model!F16</f>
        <v>43.1282912</v>
      </c>
      <c r="E13" s="28">
        <f>(600*150000/10000000)+Revenue_Model!F34-Revenue_Model!F16</f>
        <v>44.6282912</v>
      </c>
      <c r="F13" s="28">
        <f>(600*175000/10000000)+Revenue_Model!F34-Revenue_Model!F16</f>
        <v>46.1282912</v>
      </c>
      <c r="G13" s="28">
        <f>(600*200000/10000000)+Revenue_Model!F34-Revenue_Model!F16</f>
        <v>47.6282912</v>
      </c>
      <c r="H13" s="28">
        <f>(600*225000/10000000)+Revenue_Model!F34-Revenue_Model!F16</f>
        <v>49.1282912</v>
      </c>
      <c r="I13" s="28">
        <f>(600*250000/10000000)+Revenue_Model!F34-Revenue_Model!F16</f>
        <v>50.6282912</v>
      </c>
    </row>
    <row r="14" spans="2:11" ht="16.95" customHeight="1" x14ac:dyDescent="0.3">
      <c r="B14" s="13" t="s">
        <v>248</v>
      </c>
    </row>
    <row r="15" spans="2:11" ht="16.95" customHeight="1" x14ac:dyDescent="0.3"/>
    <row r="16" spans="2:11" ht="16.95" customHeight="1" x14ac:dyDescent="0.3"/>
    <row r="17" spans="2:10" ht="16.95" customHeight="1" x14ac:dyDescent="0.3">
      <c r="B17" s="59" t="s">
        <v>249</v>
      </c>
      <c r="C17" s="58"/>
      <c r="D17" s="58"/>
      <c r="E17" s="58"/>
      <c r="F17" s="58"/>
      <c r="G17" s="58"/>
      <c r="H17" s="58"/>
      <c r="I17" s="58"/>
      <c r="J17" s="58"/>
    </row>
    <row r="18" spans="2:10" ht="16.95" customHeight="1" x14ac:dyDescent="0.3">
      <c r="B18" s="8" t="s">
        <v>250</v>
      </c>
      <c r="C18" s="11">
        <v>0.03</v>
      </c>
      <c r="D18" s="11">
        <v>0.04</v>
      </c>
      <c r="E18" s="11">
        <v>0.05</v>
      </c>
      <c r="F18" s="11">
        <v>0.06</v>
      </c>
      <c r="G18" s="11">
        <v>7.0000000000000007E-2</v>
      </c>
      <c r="H18" s="11">
        <v>0.08</v>
      </c>
      <c r="I18" s="11">
        <v>0.09</v>
      </c>
    </row>
    <row r="19" spans="2:10" ht="16.95" customHeight="1" x14ac:dyDescent="0.3">
      <c r="B19" s="10">
        <v>3000</v>
      </c>
      <c r="C19" s="28">
        <f>(3000/(1+0.03*6))*Assumptions!F17*12/10000000</f>
        <v>1.827457627118644</v>
      </c>
      <c r="D19" s="28">
        <f>(3000/(1+0.04*6))*Assumptions!F17*12/10000000</f>
        <v>1.7390322580645163</v>
      </c>
      <c r="E19" s="28">
        <f>(3000/(1+0.05*6))*Assumptions!F17*12/10000000</f>
        <v>1.6587692307692308</v>
      </c>
      <c r="F19" s="28">
        <f>(3000/(1+0.06*6))*Assumptions!F17*12/10000000</f>
        <v>1.5855882352941177</v>
      </c>
      <c r="G19" s="28">
        <f>(3000/(1+0.07*6))*Assumptions!F17*12/10000000</f>
        <v>1.5185915492957749</v>
      </c>
      <c r="H19" s="28">
        <f>(3000/(1+0.08*6))*Assumptions!F17*12/10000000</f>
        <v>1.4570270270270269</v>
      </c>
      <c r="I19" s="28">
        <f>(3000/(1+0.09*6))*Assumptions!F17*12/10000000</f>
        <v>1.4002597402597405</v>
      </c>
    </row>
    <row r="20" spans="2:10" ht="16.95" customHeight="1" x14ac:dyDescent="0.3">
      <c r="B20" s="10">
        <v>5000</v>
      </c>
      <c r="C20" s="28">
        <f>(5000/(1+0.03*6))*Assumptions!F17*12/10000000</f>
        <v>3.0457627118644068</v>
      </c>
      <c r="D20" s="28">
        <f>(5000/(1+0.04*6))*Assumptions!F17*12/10000000</f>
        <v>2.8983870967741936</v>
      </c>
      <c r="E20" s="28">
        <f>(5000/(1+0.05*6))*Assumptions!F17*12/10000000</f>
        <v>2.7646153846153849</v>
      </c>
      <c r="F20" s="28">
        <f>(5000/(1+0.06*6))*Assumptions!F17*12/10000000</f>
        <v>2.6426470588235298</v>
      </c>
      <c r="G20" s="28">
        <f>(5000/(1+0.07*6))*Assumptions!F17*12/10000000</f>
        <v>2.5309859154929577</v>
      </c>
      <c r="H20" s="28">
        <f>(5000/(1+0.08*6))*Assumptions!F17*12/10000000</f>
        <v>2.4283783783783783</v>
      </c>
      <c r="I20" s="28">
        <f>(5000/(1+0.09*6))*Assumptions!F17*12/10000000</f>
        <v>2.3337662337662337</v>
      </c>
    </row>
    <row r="21" spans="2:10" ht="16.95" customHeight="1" x14ac:dyDescent="0.3">
      <c r="B21" s="10">
        <v>8000</v>
      </c>
      <c r="C21" s="28">
        <f>(8000/(1+0.03*6))*Assumptions!F17*12/10000000</f>
        <v>4.8732203389830513</v>
      </c>
      <c r="D21" s="28">
        <f>(8000/(1+0.04*6))*Assumptions!F17*12/10000000</f>
        <v>4.6374193548387099</v>
      </c>
      <c r="E21" s="52">
        <f>(8000/(1+0.05*6))*Assumptions!F17*12/10000000</f>
        <v>4.4233846153846148</v>
      </c>
      <c r="F21" s="28">
        <f>(8000/(1+0.06*6))*Assumptions!F17*12/10000000</f>
        <v>4.2282352941176473</v>
      </c>
      <c r="G21" s="28">
        <f>(8000/(1+0.07*6))*Assumptions!F17*12/10000000</f>
        <v>4.049577464788733</v>
      </c>
      <c r="H21" s="28">
        <f>(8000/(1+0.08*6))*Assumptions!F17*12/10000000</f>
        <v>3.8854054054054057</v>
      </c>
      <c r="I21" s="28">
        <f>(8000/(1+0.09*6))*Assumptions!F17*12/10000000</f>
        <v>3.7340259740259736</v>
      </c>
    </row>
    <row r="22" spans="2:10" ht="16.95" customHeight="1" x14ac:dyDescent="0.3">
      <c r="B22" s="10">
        <v>10000</v>
      </c>
      <c r="C22" s="28">
        <f>(10000/(1+0.03*6))*Assumptions!F17*12/10000000</f>
        <v>6.0915254237288137</v>
      </c>
      <c r="D22" s="28">
        <f>(10000/(1+0.04*6))*Assumptions!F17*12/10000000</f>
        <v>5.7967741935483872</v>
      </c>
      <c r="E22" s="28">
        <f>(10000/(1+0.05*6))*Assumptions!F17*12/10000000</f>
        <v>5.5292307692307698</v>
      </c>
      <c r="F22" s="28">
        <f>(10000/(1+0.06*6))*Assumptions!F17*12/10000000</f>
        <v>5.2852941176470596</v>
      </c>
      <c r="G22" s="28">
        <f>(10000/(1+0.07*6))*Assumptions!F17*12/10000000</f>
        <v>5.0619718309859154</v>
      </c>
      <c r="H22" s="28">
        <f>(10000/(1+0.08*6))*Assumptions!F17*12/10000000</f>
        <v>4.8567567567567567</v>
      </c>
      <c r="I22" s="28">
        <f>(10000/(1+0.09*6))*Assumptions!F17*12/10000000</f>
        <v>4.6675324675324674</v>
      </c>
    </row>
    <row r="23" spans="2:10" ht="16.95" customHeight="1" x14ac:dyDescent="0.3">
      <c r="B23" s="10">
        <v>15000</v>
      </c>
      <c r="C23" s="28">
        <f>(15000/(1+0.03*6))*Assumptions!F17*12/10000000</f>
        <v>9.1372881355932201</v>
      </c>
      <c r="D23" s="28">
        <f>(15000/(1+0.04*6))*Assumptions!F17*12/10000000</f>
        <v>8.695161290322579</v>
      </c>
      <c r="E23" s="28">
        <f>(15000/(1+0.05*6))*Assumptions!F17*12/10000000</f>
        <v>8.2938461538461539</v>
      </c>
      <c r="F23" s="28">
        <f>(15000/(1+0.06*6))*Assumptions!F17*12/10000000</f>
        <v>7.9279411764705898</v>
      </c>
      <c r="G23" s="28">
        <f>(15000/(1+0.07*6))*Assumptions!F17*12/10000000</f>
        <v>7.5929577464788736</v>
      </c>
      <c r="H23" s="28">
        <f>(15000/(1+0.08*6))*Assumptions!F17*12/10000000</f>
        <v>7.2851351351351354</v>
      </c>
      <c r="I23" s="28">
        <f>(15000/(1+0.09*6))*Assumptions!F17*12/10000000</f>
        <v>7.001298701298702</v>
      </c>
    </row>
    <row r="24" spans="2:10" ht="16.95" customHeight="1" x14ac:dyDescent="0.3">
      <c r="B24" s="10">
        <v>20000</v>
      </c>
      <c r="C24" s="28">
        <f>(20000/(1+0.03*6))*Assumptions!F17*12/10000000</f>
        <v>12.183050847457627</v>
      </c>
      <c r="D24" s="28">
        <f>(20000/(1+0.04*6))*Assumptions!F17*12/10000000</f>
        <v>11.593548387096774</v>
      </c>
      <c r="E24" s="28">
        <f>(20000/(1+0.05*6))*Assumptions!F17*12/10000000</f>
        <v>11.05846153846154</v>
      </c>
      <c r="F24" s="28">
        <f>(20000/(1+0.06*6))*Assumptions!F17*12/10000000</f>
        <v>10.570588235294119</v>
      </c>
      <c r="G24" s="28">
        <f>(20000/(1+0.07*6))*Assumptions!F17*12/10000000</f>
        <v>10.123943661971831</v>
      </c>
      <c r="H24" s="28">
        <f>(20000/(1+0.08*6))*Assumptions!F17*12/10000000</f>
        <v>9.7135135135135133</v>
      </c>
      <c r="I24" s="28">
        <f>(20000/(1+0.09*6))*Assumptions!F17*12/10000000</f>
        <v>9.3350649350649348</v>
      </c>
    </row>
    <row r="25" spans="2:10" ht="16.95" customHeight="1" x14ac:dyDescent="0.3">
      <c r="B25" s="13" t="s">
        <v>251</v>
      </c>
    </row>
    <row r="26" spans="2:10" ht="16.95" customHeight="1" x14ac:dyDescent="0.3"/>
    <row r="27" spans="2:10" ht="16.95" customHeight="1" x14ac:dyDescent="0.3"/>
    <row r="28" spans="2:10" ht="16.95" customHeight="1" x14ac:dyDescent="0.3">
      <c r="B28" s="65" t="s">
        <v>252</v>
      </c>
      <c r="C28" s="58"/>
      <c r="D28" s="58"/>
      <c r="E28" s="58"/>
      <c r="F28" s="58"/>
      <c r="G28" s="58"/>
    </row>
    <row r="29" spans="2:10" ht="16.95" customHeight="1" x14ac:dyDescent="0.3">
      <c r="B29" s="6" t="s">
        <v>253</v>
      </c>
      <c r="C29" s="6" t="s">
        <v>254</v>
      </c>
      <c r="D29" s="6" t="s">
        <v>255</v>
      </c>
      <c r="E29" s="6" t="s">
        <v>256</v>
      </c>
      <c r="F29" s="6" t="s">
        <v>257</v>
      </c>
      <c r="G29" s="6" t="s">
        <v>258</v>
      </c>
    </row>
    <row r="30" spans="2:10" ht="16.95" customHeight="1" x14ac:dyDescent="0.3">
      <c r="B30" s="7" t="s">
        <v>259</v>
      </c>
      <c r="C30" s="21" t="s">
        <v>260</v>
      </c>
      <c r="D30" s="45">
        <f>Revenue_Model!D34*0.7</f>
        <v>2.6139903999999996</v>
      </c>
      <c r="E30" s="45">
        <f>Revenue_Model!E34*0.7</f>
        <v>10.9348736</v>
      </c>
      <c r="F30" s="45">
        <f>Revenue_Model!F34*0.7</f>
        <v>30.539803839999998</v>
      </c>
      <c r="G30" s="45">
        <f>Revenue_Model!E53*0.5</f>
        <v>7.7306844480000017</v>
      </c>
    </row>
    <row r="31" spans="2:10" ht="16.95" customHeight="1" x14ac:dyDescent="0.3">
      <c r="B31" s="12" t="s">
        <v>261</v>
      </c>
      <c r="C31" s="50" t="s">
        <v>262</v>
      </c>
      <c r="D31" s="51">
        <f>Revenue_Model!D34</f>
        <v>3.7342719999999994</v>
      </c>
      <c r="E31" s="51">
        <f>Revenue_Model!E34</f>
        <v>15.621248000000001</v>
      </c>
      <c r="F31" s="51">
        <f>Revenue_Model!F34</f>
        <v>43.6282912</v>
      </c>
      <c r="G31" s="51">
        <f>Revenue_Model!E53</f>
        <v>15.461368896000003</v>
      </c>
    </row>
    <row r="32" spans="2:10" ht="16.95" customHeight="1" x14ac:dyDescent="0.3">
      <c r="B32" s="7" t="s">
        <v>263</v>
      </c>
      <c r="C32" s="21" t="s">
        <v>264</v>
      </c>
      <c r="D32" s="45">
        <f>Revenue_Model!D34*1.4</f>
        <v>5.2279807999999992</v>
      </c>
      <c r="E32" s="45">
        <f>Revenue_Model!E34*1.5</f>
        <v>23.431872000000002</v>
      </c>
      <c r="F32" s="45">
        <f>Revenue_Model!F34*1.6</f>
        <v>69.805265919999997</v>
      </c>
      <c r="G32" s="45">
        <f>Revenue_Model!E53*2</f>
        <v>30.922737792000007</v>
      </c>
    </row>
    <row r="33" ht="16.95" customHeight="1" x14ac:dyDescent="0.3"/>
    <row r="34" ht="16.95" customHeight="1" x14ac:dyDescent="0.3"/>
    <row r="35" ht="16.95" customHeight="1" x14ac:dyDescent="0.3"/>
    <row r="36" ht="16.95" customHeight="1" x14ac:dyDescent="0.3"/>
    <row r="37" ht="16.95" customHeight="1" x14ac:dyDescent="0.3"/>
    <row r="38" ht="16.95" customHeight="1" x14ac:dyDescent="0.3"/>
    <row r="39" ht="16.95" customHeight="1" x14ac:dyDescent="0.3"/>
    <row r="40" ht="16.95" customHeight="1" x14ac:dyDescent="0.3"/>
    <row r="41" ht="16.95" customHeight="1" x14ac:dyDescent="0.3"/>
    <row r="42" ht="16.95" customHeight="1" x14ac:dyDescent="0.3"/>
    <row r="43" ht="16.95" customHeight="1" x14ac:dyDescent="0.3"/>
    <row r="44" ht="16.95" customHeight="1" x14ac:dyDescent="0.3"/>
    <row r="45" ht="16.95" customHeight="1" x14ac:dyDescent="0.3"/>
    <row r="46" ht="16.95" customHeight="1" x14ac:dyDescent="0.3"/>
    <row r="47" ht="16.95" customHeight="1" x14ac:dyDescent="0.3"/>
    <row r="48" ht="16.95" customHeight="1" x14ac:dyDescent="0.3"/>
    <row r="49" ht="16.95" customHeight="1" x14ac:dyDescent="0.3"/>
    <row r="50" ht="16.95" customHeight="1" x14ac:dyDescent="0.3"/>
    <row r="51" ht="16.95" customHeight="1" x14ac:dyDescent="0.3"/>
    <row r="52" ht="16.95" customHeight="1" x14ac:dyDescent="0.3"/>
    <row r="53" ht="16.95" customHeight="1" x14ac:dyDescent="0.3"/>
    <row r="54" ht="16.95" customHeight="1" x14ac:dyDescent="0.3"/>
    <row r="55" ht="16.95" customHeight="1" x14ac:dyDescent="0.3"/>
    <row r="56" ht="16.95" customHeight="1" x14ac:dyDescent="0.3"/>
    <row r="57" ht="16.95" customHeight="1" x14ac:dyDescent="0.3"/>
    <row r="58" ht="16.95" customHeight="1" x14ac:dyDescent="0.3"/>
    <row r="59" ht="16.95" customHeight="1" x14ac:dyDescent="0.3"/>
    <row r="60" ht="16.95" customHeight="1" x14ac:dyDescent="0.3"/>
    <row r="61" ht="16.95" customHeight="1" x14ac:dyDescent="0.3"/>
    <row r="62" ht="16.95" customHeight="1" x14ac:dyDescent="0.3"/>
    <row r="63" ht="16.95" customHeight="1" x14ac:dyDescent="0.3"/>
    <row r="64" ht="16.95" customHeight="1" x14ac:dyDescent="0.3"/>
    <row r="65" ht="16.95" customHeight="1" x14ac:dyDescent="0.3"/>
    <row r="66" ht="16.95" customHeight="1" x14ac:dyDescent="0.3"/>
    <row r="67" ht="16.95" customHeight="1" x14ac:dyDescent="0.3"/>
    <row r="68" ht="16.95" customHeight="1" x14ac:dyDescent="0.3"/>
    <row r="69" ht="16.95" customHeight="1" x14ac:dyDescent="0.3"/>
    <row r="70" ht="16.95" customHeight="1" x14ac:dyDescent="0.3"/>
    <row r="71" ht="16.95" customHeight="1" x14ac:dyDescent="0.3"/>
    <row r="72" ht="16.95" customHeight="1" x14ac:dyDescent="0.3"/>
    <row r="73" ht="16.95" customHeight="1" x14ac:dyDescent="0.3"/>
    <row r="74" ht="16.95" customHeight="1" x14ac:dyDescent="0.3"/>
    <row r="75" ht="16.95" customHeight="1" x14ac:dyDescent="0.3"/>
    <row r="76" ht="16.95" customHeight="1" x14ac:dyDescent="0.3"/>
    <row r="77" ht="16.95" customHeight="1" x14ac:dyDescent="0.3"/>
    <row r="78" ht="16.95" customHeight="1" x14ac:dyDescent="0.3"/>
    <row r="79" ht="16.95" customHeight="1" x14ac:dyDescent="0.3"/>
  </sheetData>
  <mergeCells count="5">
    <mergeCell ref="B1:K1"/>
    <mergeCell ref="B28:G28"/>
    <mergeCell ref="B4:K4"/>
    <mergeCell ref="B17:J17"/>
    <mergeCell ref="B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A1A2E"/>
  </sheetPr>
  <dimension ref="B1:G59"/>
  <sheetViews>
    <sheetView showGridLines="0" workbookViewId="0">
      <selection activeCell="H11" sqref="H11"/>
    </sheetView>
  </sheetViews>
  <sheetFormatPr defaultRowHeight="14.4" x14ac:dyDescent="0.3"/>
  <cols>
    <col min="1" max="1" width="2" customWidth="1"/>
    <col min="2" max="2" width="28" style="14" customWidth="1"/>
    <col min="3" max="7" width="18" style="14" customWidth="1"/>
  </cols>
  <sheetData>
    <row r="1" spans="2:7" ht="16.95" customHeight="1" x14ac:dyDescent="0.3">
      <c r="B1" s="60" t="s">
        <v>265</v>
      </c>
      <c r="C1" s="58"/>
      <c r="D1" s="58"/>
      <c r="E1" s="58"/>
      <c r="F1" s="58"/>
      <c r="G1" s="58"/>
    </row>
    <row r="2" spans="2:7" ht="16.95" customHeight="1" x14ac:dyDescent="0.3">
      <c r="B2" s="57" t="s">
        <v>266</v>
      </c>
      <c r="C2" s="58"/>
      <c r="D2" s="58"/>
      <c r="E2" s="58"/>
      <c r="F2" s="58"/>
      <c r="G2" s="58"/>
    </row>
    <row r="3" spans="2:7" ht="16.95" customHeight="1" x14ac:dyDescent="0.3"/>
    <row r="4" spans="2:7" ht="16.95" customHeight="1" x14ac:dyDescent="0.3">
      <c r="B4" s="59" t="s">
        <v>267</v>
      </c>
      <c r="C4" s="58"/>
      <c r="D4" s="58"/>
      <c r="E4" s="58"/>
      <c r="F4" s="58"/>
      <c r="G4" s="58"/>
    </row>
    <row r="5" spans="2:7" ht="16.95" customHeight="1" x14ac:dyDescent="0.3">
      <c r="B5" s="6" t="s">
        <v>268</v>
      </c>
      <c r="C5" s="6" t="s">
        <v>47</v>
      </c>
      <c r="D5" s="6" t="s">
        <v>48</v>
      </c>
      <c r="E5" s="6" t="s">
        <v>49</v>
      </c>
      <c r="F5" s="6" t="s">
        <v>64</v>
      </c>
      <c r="G5"/>
    </row>
    <row r="6" spans="2:7" ht="16.95" customHeight="1" x14ac:dyDescent="0.3">
      <c r="B6" s="35" t="s">
        <v>269</v>
      </c>
      <c r="C6" s="46">
        <f>Revenue_Model!D34</f>
        <v>3.7342719999999994</v>
      </c>
      <c r="D6" s="46">
        <f>Revenue_Model!E34</f>
        <v>15.621248000000001</v>
      </c>
      <c r="E6" s="46">
        <f>Revenue_Model!F34</f>
        <v>43.6282912</v>
      </c>
      <c r="F6" s="56" t="s">
        <v>270</v>
      </c>
      <c r="G6"/>
    </row>
    <row r="7" spans="2:7" ht="16.95" customHeight="1" x14ac:dyDescent="0.3">
      <c r="B7" s="35" t="s">
        <v>271</v>
      </c>
      <c r="C7" s="46">
        <f>Revenue_Model!D43</f>
        <v>2.2978367999999998</v>
      </c>
      <c r="D7" s="46">
        <f>Revenue_Model!E43</f>
        <v>9.7791761600000005</v>
      </c>
      <c r="E7" s="46">
        <f>Revenue_Model!F43</f>
        <v>27.836763840000003</v>
      </c>
      <c r="F7" s="56" t="s">
        <v>270</v>
      </c>
      <c r="G7"/>
    </row>
    <row r="8" spans="2:7" ht="16.95" customHeight="1" x14ac:dyDescent="0.3">
      <c r="B8" s="35" t="s">
        <v>272</v>
      </c>
      <c r="C8" s="55">
        <f>Revenue_Model!D44</f>
        <v>0.61533728662507714</v>
      </c>
      <c r="D8" s="55">
        <f>Revenue_Model!E44</f>
        <v>0.62601759859391515</v>
      </c>
      <c r="E8" s="55">
        <f>Revenue_Model!F44</f>
        <v>0.63804387186266887</v>
      </c>
      <c r="F8" s="56" t="s">
        <v>67</v>
      </c>
      <c r="G8"/>
    </row>
    <row r="9" spans="2:7" ht="16.95" customHeight="1" x14ac:dyDescent="0.3">
      <c r="B9" s="35" t="s">
        <v>273</v>
      </c>
      <c r="C9" s="46">
        <f>Revenue_Model!C53</f>
        <v>-0.67433215999999963</v>
      </c>
      <c r="D9" s="46">
        <f>Revenue_Model!D53</f>
        <v>2.95598896</v>
      </c>
      <c r="E9" s="46">
        <f>Revenue_Model!E53</f>
        <v>15.461368896000003</v>
      </c>
      <c r="F9" s="56" t="s">
        <v>270</v>
      </c>
      <c r="G9"/>
    </row>
    <row r="10" spans="2:7" ht="16.95" customHeight="1" x14ac:dyDescent="0.3">
      <c r="B10" s="35" t="s">
        <v>274</v>
      </c>
      <c r="C10" s="46">
        <f>TAM_SAM_SOM!E10</f>
        <v>1800</v>
      </c>
      <c r="D10" s="46" t="s">
        <v>275</v>
      </c>
      <c r="E10" s="46" t="s">
        <v>275</v>
      </c>
      <c r="F10" s="56" t="s">
        <v>270</v>
      </c>
      <c r="G10"/>
    </row>
    <row r="11" spans="2:7" ht="16.95" customHeight="1" x14ac:dyDescent="0.3">
      <c r="B11" s="35" t="s">
        <v>276</v>
      </c>
      <c r="C11" s="46">
        <f>TAM_SAM_SOM!E18</f>
        <v>360</v>
      </c>
      <c r="D11" s="46" t="s">
        <v>275</v>
      </c>
      <c r="E11" s="46" t="s">
        <v>275</v>
      </c>
      <c r="F11" s="56" t="s">
        <v>270</v>
      </c>
      <c r="G11"/>
    </row>
    <row r="12" spans="2:7" ht="16.95" customHeight="1" x14ac:dyDescent="0.3">
      <c r="B12" s="35" t="s">
        <v>277</v>
      </c>
      <c r="C12" s="46">
        <v>2</v>
      </c>
      <c r="D12" s="46">
        <f>TAM_SAM_SOM!E24</f>
        <v>1.08</v>
      </c>
      <c r="E12" s="46">
        <f>TAM_SAM_SOM!D24</f>
        <v>0.36</v>
      </c>
      <c r="F12" s="56" t="s">
        <v>270</v>
      </c>
      <c r="G12"/>
    </row>
    <row r="13" spans="2:7" ht="16.95" customHeight="1" x14ac:dyDescent="0.3"/>
    <row r="14" spans="2:7" ht="16.95" customHeight="1" x14ac:dyDescent="0.3">
      <c r="B14" s="59" t="s">
        <v>278</v>
      </c>
      <c r="C14" s="58"/>
      <c r="D14" s="58"/>
      <c r="E14" s="58"/>
      <c r="F14" s="58"/>
      <c r="G14" s="58"/>
    </row>
    <row r="15" spans="2:7" ht="16.95" customHeight="1" x14ac:dyDescent="0.3">
      <c r="B15" s="6" t="s">
        <v>178</v>
      </c>
      <c r="C15" s="6" t="s">
        <v>279</v>
      </c>
      <c r="D15" s="6" t="s">
        <v>280</v>
      </c>
      <c r="E15" s="6" t="s">
        <v>281</v>
      </c>
      <c r="F15" s="6" t="s">
        <v>282</v>
      </c>
      <c r="G15" s="6" t="s">
        <v>183</v>
      </c>
    </row>
    <row r="16" spans="2:7" ht="16.95" customHeight="1" x14ac:dyDescent="0.3">
      <c r="B16" s="35" t="s">
        <v>184</v>
      </c>
      <c r="C16" s="53">
        <f>Revenue_Model!D13</f>
        <v>1.5726719999999998</v>
      </c>
      <c r="D16" s="53">
        <f>Revenue_Model!E13</f>
        <v>5.4072480000000001</v>
      </c>
      <c r="E16" s="53">
        <f>Revenue_Model!F13</f>
        <v>12.474691200000002</v>
      </c>
      <c r="F16" s="25">
        <f>E16/E21</f>
        <v>0.28593123537233572</v>
      </c>
      <c r="G16" s="25">
        <f>(E16/C16)^(1/2)-1</f>
        <v>1.8164096559304568</v>
      </c>
    </row>
    <row r="17" spans="2:7" ht="16.95" customHeight="1" x14ac:dyDescent="0.3">
      <c r="B17" s="35" t="s">
        <v>185</v>
      </c>
      <c r="C17" s="53">
        <f>Revenue_Model!D16</f>
        <v>0.9</v>
      </c>
      <c r="D17" s="53">
        <f>Revenue_Model!E16</f>
        <v>3.5</v>
      </c>
      <c r="E17" s="53">
        <f>Revenue_Model!F16</f>
        <v>8</v>
      </c>
      <c r="F17" s="25">
        <f>E17/E21</f>
        <v>0.18336725505306978</v>
      </c>
      <c r="G17" s="25">
        <f>(E17/C17)^(1/2)-1</f>
        <v>1.9814239699997196</v>
      </c>
    </row>
    <row r="18" spans="2:7" ht="16.95" customHeight="1" x14ac:dyDescent="0.3">
      <c r="B18" s="35" t="s">
        <v>186</v>
      </c>
      <c r="C18" s="53">
        <f>Revenue_Model!D19</f>
        <v>0.19959999999999997</v>
      </c>
      <c r="D18" s="53">
        <f>Revenue_Model!E19</f>
        <v>1.0980000000000001</v>
      </c>
      <c r="E18" s="53">
        <f>Revenue_Model!F19</f>
        <v>3.8336000000000001</v>
      </c>
      <c r="F18" s="25">
        <f>E18/E21</f>
        <v>8.7869588621431044E-2</v>
      </c>
      <c r="G18" s="25">
        <f>(E18/C18)^(1/2)-1</f>
        <v>3.3825121592131726</v>
      </c>
    </row>
    <row r="19" spans="2:7" ht="16.95" customHeight="1" x14ac:dyDescent="0.3">
      <c r="B19" s="35" t="s">
        <v>283</v>
      </c>
      <c r="C19" s="53">
        <f>Revenue_Model!D22</f>
        <v>0.432</v>
      </c>
      <c r="D19" s="53">
        <f>Revenue_Model!E22</f>
        <v>2.7360000000000002</v>
      </c>
      <c r="E19" s="53">
        <f>Revenue_Model!F22</f>
        <v>9.6</v>
      </c>
      <c r="F19" s="25">
        <f>E19/E21</f>
        <v>0.22004070606368373</v>
      </c>
      <c r="G19" s="25">
        <f>(E19/C19)^(1/2)-1</f>
        <v>3.714045207910317</v>
      </c>
    </row>
    <row r="20" spans="2:7" ht="16.95" customHeight="1" x14ac:dyDescent="0.3">
      <c r="B20" s="35" t="s">
        <v>188</v>
      </c>
      <c r="C20" s="53">
        <f>Revenue_Model!D25</f>
        <v>0.63</v>
      </c>
      <c r="D20" s="53">
        <f>Revenue_Model!E25</f>
        <v>2.88</v>
      </c>
      <c r="E20" s="53">
        <f>Revenue_Model!F25</f>
        <v>9.7200000000000006</v>
      </c>
      <c r="F20" s="25">
        <f>E20/E21</f>
        <v>0.22279121488947981</v>
      </c>
      <c r="G20" s="25">
        <f>(E20/C20)^(1/2)-1</f>
        <v>2.927922024247863</v>
      </c>
    </row>
    <row r="21" spans="2:7" ht="16.95" customHeight="1" x14ac:dyDescent="0.3">
      <c r="B21" s="36" t="s">
        <v>284</v>
      </c>
      <c r="C21" s="54">
        <f>SUM(C16:C20)</f>
        <v>3.7342719999999994</v>
      </c>
      <c r="D21" s="54">
        <f>SUM(D16:D20)</f>
        <v>15.621248000000001</v>
      </c>
      <c r="E21" s="54">
        <f>SUM(E16:E20)</f>
        <v>43.6282912</v>
      </c>
    </row>
    <row r="22" spans="2:7" ht="16.95" customHeight="1" x14ac:dyDescent="0.3"/>
    <row r="23" spans="2:7" ht="16.95" customHeight="1" x14ac:dyDescent="0.3"/>
    <row r="24" spans="2:7" ht="16.95" customHeight="1" x14ac:dyDescent="0.3"/>
    <row r="25" spans="2:7" ht="16.95" customHeight="1" x14ac:dyDescent="0.3"/>
    <row r="26" spans="2:7" ht="16.95" customHeight="1" x14ac:dyDescent="0.3"/>
    <row r="27" spans="2:7" ht="16.95" customHeight="1" x14ac:dyDescent="0.3"/>
    <row r="28" spans="2:7" ht="16.95" customHeight="1" x14ac:dyDescent="0.3"/>
    <row r="29" spans="2:7" ht="16.95" customHeight="1" x14ac:dyDescent="0.3"/>
    <row r="30" spans="2:7" ht="16.95" customHeight="1" x14ac:dyDescent="0.3"/>
    <row r="31" spans="2:7" ht="16.95" customHeight="1" x14ac:dyDescent="0.3"/>
    <row r="32" spans="2:7" ht="16.95" customHeight="1" x14ac:dyDescent="0.3"/>
    <row r="33" spans="2:2" ht="16.95" customHeight="1" x14ac:dyDescent="0.3"/>
    <row r="34" spans="2:2" ht="16.95" customHeight="1" x14ac:dyDescent="0.3"/>
    <row r="35" spans="2:2" ht="16.95" customHeight="1" x14ac:dyDescent="0.3"/>
    <row r="36" spans="2:2" ht="16.95" customHeight="1" x14ac:dyDescent="0.3"/>
    <row r="37" spans="2:2" ht="16.95" customHeight="1" x14ac:dyDescent="0.3"/>
    <row r="38" spans="2:2" ht="16.95" customHeight="1" x14ac:dyDescent="0.3"/>
    <row r="39" spans="2:2" ht="16.95" customHeight="1" x14ac:dyDescent="0.3"/>
    <row r="40" spans="2:2" ht="16.95" customHeight="1" x14ac:dyDescent="0.3"/>
    <row r="41" spans="2:2" ht="16.95" customHeight="1" x14ac:dyDescent="0.3"/>
    <row r="42" spans="2:2" ht="16.95" customHeight="1" x14ac:dyDescent="0.3"/>
    <row r="43" spans="2:2" ht="16.95" customHeight="1" x14ac:dyDescent="0.3"/>
    <row r="44" spans="2:2" ht="16.95" customHeight="1" x14ac:dyDescent="0.3"/>
    <row r="45" spans="2:2" ht="16.95" customHeight="1" x14ac:dyDescent="0.3"/>
    <row r="46" spans="2:2" ht="16.95" customHeight="1" x14ac:dyDescent="0.45">
      <c r="B46" s="68" t="s">
        <v>291</v>
      </c>
    </row>
    <row r="47" spans="2:2" ht="16.95" customHeight="1" x14ac:dyDescent="0.3"/>
    <row r="48" spans="2:2" ht="16.95" customHeight="1" x14ac:dyDescent="0.3"/>
    <row r="49" ht="16.95" customHeight="1" x14ac:dyDescent="0.3"/>
    <row r="50" ht="16.95" customHeight="1" x14ac:dyDescent="0.3"/>
    <row r="51" ht="16.95" customHeight="1" x14ac:dyDescent="0.3"/>
    <row r="52" ht="16.95" customHeight="1" x14ac:dyDescent="0.3"/>
    <row r="53" ht="16.95" customHeight="1" x14ac:dyDescent="0.3"/>
    <row r="54" ht="16.95" customHeight="1" x14ac:dyDescent="0.3"/>
    <row r="55" ht="16.95" customHeight="1" x14ac:dyDescent="0.3"/>
    <row r="56" ht="16.95" customHeight="1" x14ac:dyDescent="0.3"/>
    <row r="57" ht="16.95" customHeight="1" x14ac:dyDescent="0.3"/>
    <row r="58" ht="16.95" customHeight="1" x14ac:dyDescent="0.3"/>
    <row r="59" ht="16.95" customHeight="1" x14ac:dyDescent="0.3"/>
  </sheetData>
  <mergeCells count="4">
    <mergeCell ref="B2:G2"/>
    <mergeCell ref="B4:G4"/>
    <mergeCell ref="B14:G14"/>
    <mergeCell ref="B1: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TAM_SAM_SOM</vt:lpstr>
      <vt:lpstr>Assumptions</vt:lpstr>
      <vt:lpstr>Revenue_Model</vt:lpstr>
      <vt:lpstr>Unit_Economics</vt:lpstr>
      <vt:lpstr>Sensitivity</vt:lpstr>
      <vt:lpstr>Summary_Dashboard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DHANGHAR</cp:lastModifiedBy>
  <dcterms:created xsi:type="dcterms:W3CDTF">2026-06-11T09:15:04Z</dcterms:created>
  <dcterms:modified xsi:type="dcterms:W3CDTF">2026-06-12T15:42:07Z</dcterms:modified>
</cp:coreProperties>
</file>